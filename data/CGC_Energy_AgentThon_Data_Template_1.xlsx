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cgcmb-my.sharepoint.com/personal/nuru2463_cgc_com_my/Documents/Desktop/Agent-thon/"/>
    </mc:Choice>
  </mc:AlternateContent>
  <xr:revisionPtr revIDLastSave="19" documentId="8_{2867D9B9-D837-42D0-BEAD-5A4705525488}" xr6:coauthVersionLast="47" xr6:coauthVersionMax="47" xr10:uidLastSave="{9497513F-BF93-49B9-BE88-B8FC912D1DAD}"/>
  <bookViews>
    <workbookView xWindow="-110" yWindow="-110" windowWidth="19420" windowHeight="10300" firstSheet="1" activeTab="3" xr2:uid="{00000000-000D-0000-FFFF-FFFF00000000}"/>
  </bookViews>
  <sheets>
    <sheet name="Instructions" sheetId="1" state="hidden" r:id="rId1"/>
    <sheet name="Energy_Data" sheetId="2" r:id="rId2"/>
    <sheet name="Floor_Master" sheetId="3" r:id="rId3"/>
    <sheet name="Occupancy" sheetId="4" r:id="rId4"/>
    <sheet name="Emission_Factor" sheetId="5" r:id="rId5"/>
    <sheet name="Tariff" sheetId="6" r:id="rId6"/>
    <sheet name="Recommendations" sheetId="7" r:id="rId7"/>
    <sheet name="Employee_Estimate_Input" sheetId="8" state="hidden" r:id="rId8"/>
    <sheet name="Data_Issue_Log" sheetId="9" state="hidden" r:id="rId9"/>
    <sheet name="Lists" sheetId="10" state="hidden" r:id="rId10"/>
  </sheets>
  <definedNames>
    <definedName name="_xlnm._FilterDatabase" localSheetId="3" hidden="1">Occupancy!$A$3:$I$19</definedName>
    <definedName name="_xlnm._FilterDatabase" localSheetId="5" hidden="1">Tariff!$A$3:$H$5</definedName>
    <definedName name="_xlnm.Print_Area" localSheetId="1">Energy_Data!$A$1:$M$200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8" i="7" l="1"/>
  <c r="P28" i="7"/>
  <c r="Q27" i="7"/>
  <c r="P27" i="7"/>
  <c r="Q26" i="7"/>
  <c r="P26" i="7"/>
  <c r="Q25" i="7"/>
  <c r="P25" i="7"/>
  <c r="Q24" i="7"/>
  <c r="P24" i="7"/>
  <c r="Q23" i="7"/>
  <c r="P23" i="7"/>
  <c r="Q20" i="7"/>
  <c r="P20" i="7"/>
  <c r="Q19" i="7"/>
  <c r="P19" i="7"/>
  <c r="Q18" i="7"/>
  <c r="P18" i="7"/>
  <c r="Q17" i="7"/>
  <c r="P17" i="7"/>
  <c r="Q16" i="7"/>
  <c r="P16" i="7"/>
  <c r="Q12" i="7"/>
  <c r="P12" i="7"/>
  <c r="Q11" i="7"/>
  <c r="P11" i="7"/>
  <c r="Q9" i="7"/>
  <c r="P9" i="7"/>
  <c r="Q8" i="7"/>
  <c r="P8" i="7"/>
  <c r="Q7" i="7"/>
  <c r="P7" i="7"/>
  <c r="Q6" i="7"/>
  <c r="P6" i="7"/>
  <c r="Q5" i="7"/>
  <c r="P5" i="7"/>
  <c r="Q4" i="7"/>
  <c r="P4" i="7"/>
  <c r="F213" i="2"/>
  <c r="E213" i="2"/>
  <c r="F212" i="2"/>
  <c r="E212" i="2"/>
  <c r="F211" i="2"/>
  <c r="E211" i="2"/>
  <c r="F210" i="2"/>
  <c r="E210" i="2"/>
  <c r="F209" i="2"/>
  <c r="E209" i="2"/>
  <c r="F208" i="2"/>
  <c r="E208" i="2"/>
  <c r="F207" i="2"/>
  <c r="E207" i="2"/>
  <c r="F206" i="2"/>
  <c r="E206" i="2"/>
  <c r="F205" i="2"/>
  <c r="E205" i="2"/>
  <c r="F204" i="2"/>
  <c r="E204" i="2"/>
  <c r="F203" i="2"/>
  <c r="E203" i="2"/>
  <c r="F202" i="2"/>
  <c r="E202" i="2"/>
  <c r="F201" i="2"/>
  <c r="E201" i="2"/>
  <c r="F200" i="2"/>
  <c r="E200" i="2"/>
  <c r="F199" i="2"/>
  <c r="E199" i="2"/>
  <c r="F198" i="2"/>
  <c r="E198" i="2"/>
  <c r="F197" i="2"/>
  <c r="E19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C5" authorId="0" shapeId="0" xr:uid="{00000000-0006-0000-0300-000001000000}">
      <text>
        <r>
          <rPr>
            <sz val="10"/>
            <rFont val="Arial"/>
            <family val="2"/>
          </rPr>
          <t>Source: User-provided 2025 average employee count.</t>
        </r>
      </text>
    </comment>
    <comment ref="C6" authorId="0" shapeId="0" xr:uid="{00000000-0006-0000-0300-000002000000}">
      <text>
        <r>
          <rPr>
            <sz val="10"/>
            <rFont val="Arial"/>
            <family val="2"/>
          </rPr>
          <t>Source: User-provided 2025 average employee count.</t>
        </r>
      </text>
    </comment>
    <comment ref="C7" authorId="0" shapeId="0" xr:uid="{00000000-0006-0000-0300-000003000000}">
      <text>
        <r>
          <rPr>
            <sz val="10"/>
            <rFont val="Arial"/>
            <family val="2"/>
          </rPr>
          <t>Source: User-provided 2025 average employee count.</t>
        </r>
      </text>
    </comment>
    <comment ref="C8" authorId="0" shapeId="0" xr:uid="{00000000-0006-0000-0300-000004000000}">
      <text>
        <r>
          <rPr>
            <sz val="10"/>
            <rFont val="Arial"/>
            <family val="2"/>
          </rPr>
          <t>Source: User-provided 2025 average employee count.</t>
        </r>
      </text>
    </comment>
    <comment ref="C9" authorId="0" shapeId="0" xr:uid="{00000000-0006-0000-0300-000005000000}">
      <text>
        <r>
          <rPr>
            <sz val="10"/>
            <rFont val="Arial"/>
            <family val="2"/>
          </rPr>
          <t>Source: User-provided 2025 average employee count.</t>
        </r>
      </text>
    </comment>
    <comment ref="C11" authorId="0" shapeId="0" xr:uid="{00000000-0006-0000-0300-000006000000}">
      <text>
        <r>
          <rPr>
            <sz val="10"/>
            <rFont val="Arial"/>
            <family val="2"/>
          </rPr>
          <t>Source: User-provided 2025 average employee count.</t>
        </r>
      </text>
    </comment>
    <comment ref="C12" authorId="0" shapeId="0" xr:uid="{00000000-0006-0000-0300-000007000000}">
      <text>
        <r>
          <rPr>
            <sz val="10"/>
            <rFont val="Arial"/>
            <family val="2"/>
          </rPr>
          <t>Source: User-provided 2025 average employee count.</t>
        </r>
      </text>
    </comment>
    <comment ref="C13" authorId="0" shapeId="0" xr:uid="{00000000-0006-0000-0300-000008000000}">
      <text>
        <r>
          <rPr>
            <sz val="10"/>
            <rFont val="Arial"/>
            <family val="2"/>
          </rPr>
          <t>Source: User-provided 2025 average employee count.</t>
        </r>
      </text>
    </comment>
    <comment ref="C14" authorId="0" shapeId="0" xr:uid="{00000000-0006-0000-0300-000009000000}">
      <text>
        <r>
          <rPr>
            <sz val="10"/>
            <rFont val="Arial"/>
            <family val="2"/>
          </rPr>
          <t>Source: User-provided 2025 average employee count.</t>
        </r>
      </text>
    </comment>
    <comment ref="C15" authorId="0" shapeId="0" xr:uid="{00000000-0006-0000-0300-00000A000000}">
      <text>
        <r>
          <rPr>
            <sz val="10"/>
            <rFont val="Arial"/>
            <family val="2"/>
          </rPr>
          <t>Source: User-provided 2025 average employee count.</t>
        </r>
      </text>
    </comment>
    <comment ref="C16" authorId="0" shapeId="0" xr:uid="{00000000-0006-0000-0300-00000B000000}">
      <text>
        <r>
          <rPr>
            <sz val="10"/>
            <rFont val="Arial"/>
            <family val="2"/>
          </rPr>
          <t>Source: User-provided 2025 average employee count.</t>
        </r>
      </text>
    </comment>
    <comment ref="C17" authorId="0" shapeId="0" xr:uid="{00000000-0006-0000-0300-00000C000000}">
      <text>
        <r>
          <rPr>
            <sz val="10"/>
            <rFont val="Arial"/>
            <family val="2"/>
          </rPr>
          <t>Source: User-provided 2025 average employee count.</t>
        </r>
      </text>
    </comment>
    <comment ref="C18" authorId="0" shapeId="0" xr:uid="{00000000-0006-0000-0300-00000D000000}">
      <text>
        <r>
          <rPr>
            <sz val="10"/>
            <rFont val="Arial"/>
            <family val="2"/>
          </rPr>
          <t>Source: User-provided 2025 average employee count.</t>
        </r>
      </text>
    </comment>
    <comment ref="C19" authorId="0" shapeId="0" xr:uid="{00000000-0006-0000-0300-00000E000000}">
      <text>
        <r>
          <rPr>
            <sz val="10"/>
            <rFont val="Arial"/>
            <family val="2"/>
          </rPr>
          <t>Source: User-provided 2025 average employee count.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D4" authorId="0" shapeId="0" xr:uid="{00000000-0006-0000-0500-000001000000}">
      <text>
        <r>
          <rPr>
            <sz val="10"/>
            <rFont val="Arial"/>
            <family val="2"/>
          </rPr>
          <t>Calculation: RM 385,254.22 exact Caj Semasa / 677,073 kWh = RM 0.569000/kWh; displayed to 4 decimals. Source: Energy_Data records populated from 2025 TNB bills.</t>
        </r>
      </text>
    </comment>
    <comment ref="D5" authorId="0" shapeId="0" xr:uid="{00000000-0006-0000-0500-000002000000}">
      <text>
        <r>
          <rPr>
            <sz val="10"/>
            <rFont val="Arial"/>
            <family val="2"/>
          </rPr>
          <t>Calculation: RM 365,620.94 exact Caj Semasa / 716,807 kWh = RM 0.510069/kWh; displayed to 4 decimals. Source: Energy_Data records populated from 2025 TNB bills.</t>
        </r>
      </text>
    </comment>
  </commentList>
</comments>
</file>

<file path=xl/sharedStrings.xml><?xml version="1.0" encoding="utf-8"?>
<sst xmlns="http://schemas.openxmlformats.org/spreadsheetml/2006/main" count="2561" uniqueCount="820">
  <si>
    <t>CGC Energy Intelligence Copilot - Data Template</t>
  </si>
  <si>
    <t>Agent-Thon MVP | Data-entry workbook for Sustainability and Facilities</t>
  </si>
  <si>
    <t>READ ME FIRST - Populate in this order</t>
  </si>
  <si>
    <t>Order</t>
  </si>
  <si>
    <t>Sheet</t>
  </si>
  <si>
    <t>What to do</t>
  </si>
  <si>
    <t>Priority</t>
  </si>
  <si>
    <t>Energy_Data</t>
  </si>
  <si>
    <t>Enter one row per floor per month using historical floor electricity bills.</t>
  </si>
  <si>
    <t>MANDATORY</t>
  </si>
  <si>
    <t>Floor_Master</t>
  </si>
  <si>
    <t>Confirm floor names, uses, areas and aggregate employee counts.</t>
  </si>
  <si>
    <t>Emission_Factor</t>
  </si>
  <si>
    <t>Use only a confirmed and approved factor.</t>
  </si>
  <si>
    <t>Recommendations</t>
  </si>
  <si>
    <t>Review and approve the recommendation library before agent use.</t>
  </si>
  <si>
    <t>Occupancy</t>
  </si>
  <si>
    <t>Populate aggregate floor/month occupancy if available. No employee names.</t>
  </si>
  <si>
    <t>OPTIONAL FOR MVP</t>
  </si>
  <si>
    <t>Tariff</t>
  </si>
  <si>
    <t>Populate if cost calculations or checks are needed.</t>
  </si>
  <si>
    <t>OPTIONAL</t>
  </si>
  <si>
    <t>Employee_Estimate_Input</t>
  </si>
  <si>
    <t>Use pseudonymous IDs only; allocations are estimates, not metered use.</t>
  </si>
  <si>
    <t>Data_Issue_Log</t>
  </si>
  <si>
    <t>Record discrepancies, gaps and resolutions.</t>
  </si>
  <si>
    <t>AS NEEDED</t>
  </si>
  <si>
    <t>Simple data-entry rules</t>
  </si>
  <si>
    <t>• One row per defined record; do not merge cells in data tables.</t>
  </si>
  <si>
    <t>• Use the first day of the month for monthly dates.</t>
  </si>
  <si>
    <t>• Keep Building_ID = MCGC and Floor_ID = F01 to F16.</t>
  </si>
  <si>
    <t>• Imported bill values are green-font linked inputs. Do not guess missing values.</t>
  </si>
  <si>
    <t>• Employee estimates must use pseudonymous IDs and be labelled ESTIMATED.</t>
  </si>
  <si>
    <t>• Keep column names unchanged for Power BI, Power Automate and Copilot Studio.</t>
  </si>
  <si>
    <t>Data classification legend</t>
  </si>
  <si>
    <t>Measured</t>
  </si>
  <si>
    <t>Directly recorded from an approved bill, meter or source record.</t>
  </si>
  <si>
    <t>Calculated</t>
  </si>
  <si>
    <t>Derived deterministically from approved inputs using a documented formula.</t>
  </si>
  <si>
    <t>Estimated</t>
  </si>
  <si>
    <t>An allocation or approximation; not directly metered.</t>
  </si>
  <si>
    <t>Inferred/Recommendation</t>
  </si>
  <si>
    <t>A possible explanation or proposed action; not a confirmed cause.</t>
  </si>
  <si>
    <t>Energy Data</t>
  </si>
  <si>
    <t>One row = one floor + one month. TNB bills populated for Levels 1-16, January-December 2025. Cost_RM uses exact detailed Caj Semasa only.</t>
  </si>
  <si>
    <t>Record_ID</t>
  </si>
  <si>
    <t>Building_ID</t>
  </si>
  <si>
    <t>Month</t>
  </si>
  <si>
    <t>Floor_ID</t>
  </si>
  <si>
    <t>Electricity_kWh</t>
  </si>
  <si>
    <t>Cost_RM</t>
  </si>
  <si>
    <t>Max_Demand_kW</t>
  </si>
  <si>
    <t>Meter_Account</t>
  </si>
  <si>
    <t>Reading_Type</t>
  </si>
  <si>
    <t>Source_Document</t>
  </si>
  <si>
    <t>Data_Status</t>
  </si>
  <si>
    <t>Quality_Status</t>
  </si>
  <si>
    <t>Notes</t>
  </si>
  <si>
    <t>2025-01-F01</t>
  </si>
  <si>
    <t>MCGC</t>
  </si>
  <si>
    <t>F01</t>
  </si>
  <si>
    <t>220285302003</t>
  </si>
  <si>
    <t>Actual Bill</t>
  </si>
  <si>
    <t>Jan 25.pdf</t>
  </si>
  <si>
    <t>Validated</t>
  </si>
  <si>
    <t>Cost_RM uses detailed Caj Semasa only; excludes rounding adjustment.</t>
  </si>
  <si>
    <t>2025-02-F01</t>
  </si>
  <si>
    <t>Feb 25.pdf</t>
  </si>
  <si>
    <t>Cost_RM uses detailed Caj Semasa only.</t>
  </si>
  <si>
    <t>2025-03-F01</t>
  </si>
  <si>
    <t>Mar 25.pdf</t>
  </si>
  <si>
    <t>2025-04-F01</t>
  </si>
  <si>
    <t>Apr 25.pdf</t>
  </si>
  <si>
    <t>2025-05-F01</t>
  </si>
  <si>
    <t>May 25.pdf</t>
  </si>
  <si>
    <t>2025-06-F01</t>
  </si>
  <si>
    <t>Jun 25.pdf</t>
  </si>
  <si>
    <t>2025-07-F01</t>
  </si>
  <si>
    <t>Jul 25.pdf</t>
  </si>
  <si>
    <t>2025-08-F01</t>
  </si>
  <si>
    <t>Aug 25.pdf</t>
  </si>
  <si>
    <t>2025-09-F01</t>
  </si>
  <si>
    <t>Sep 25.pdf</t>
  </si>
  <si>
    <t>2025-10-F01</t>
  </si>
  <si>
    <t>Oct 25.pdf</t>
  </si>
  <si>
    <t>2025-11-F01</t>
  </si>
  <si>
    <t>Nov 25.pdf</t>
  </si>
  <si>
    <t>Cost_RM uses detailed Caj Semasa only; excludes prior balance and rounding adjustment.</t>
  </si>
  <si>
    <t>2025-12-F01</t>
  </si>
  <si>
    <t>Dec 25.pdf</t>
  </si>
  <si>
    <t>Cost_RM uses detailed Caj Semasa only; includes RM1.94 late-payment surcharge shown in Caj Semasa; excludes rounding adjustment.</t>
  </si>
  <si>
    <t>2025-01-F02</t>
  </si>
  <si>
    <t>F02</t>
  </si>
  <si>
    <t>220285308007</t>
  </si>
  <si>
    <t>L2 Jan25.pdf</t>
  </si>
  <si>
    <t>Cost_RM uses detailed Caj Semasa only; excludes RM0.01 rounding adjustment.</t>
  </si>
  <si>
    <t>2025-02-F02</t>
  </si>
  <si>
    <t>L2 Feb 25.pdf</t>
  </si>
  <si>
    <t>2025-03-F02</t>
  </si>
  <si>
    <t>L2 Mar 25.pdf</t>
  </si>
  <si>
    <t>Cost_RM uses detailed Caj Semasa only; excludes RM0.02 rounding adjustment.</t>
  </si>
  <si>
    <t>2025-04-F02</t>
  </si>
  <si>
    <t>L2 Apr 25.pdf</t>
  </si>
  <si>
    <t>2025-05-F02</t>
  </si>
  <si>
    <t>L2 May 25.pdf</t>
  </si>
  <si>
    <t>2025-06-F02</t>
  </si>
  <si>
    <t>L2 Jun 25.pdf</t>
  </si>
  <si>
    <t>2025-07-F02</t>
  </si>
  <si>
    <t>L2 Jul 25.pdf</t>
  </si>
  <si>
    <t>2025-08-F02</t>
  </si>
  <si>
    <t>L2 Aug 25.pdf</t>
  </si>
  <si>
    <t>2025-09-F02</t>
  </si>
  <si>
    <t>L2 Sep 25.pdf</t>
  </si>
  <si>
    <t>2025-10-F02</t>
  </si>
  <si>
    <t>L2 Oct 25.pdf</t>
  </si>
  <si>
    <t>2025-11-F02</t>
  </si>
  <si>
    <t>L2 No 25.pdf</t>
  </si>
  <si>
    <t>Cost_RM uses detailed Caj Semasa only; excludes prior balance and RM0.02 rounding adjustment.</t>
  </si>
  <si>
    <t>2025-12-F02</t>
  </si>
  <si>
    <t>L2 Dec 25.pdf</t>
  </si>
  <si>
    <t>Cost_RM uses detailed Caj Semasa only; includes RM3.30 late-payment surcharge shown in Caj Semasa; excludes RM0.01 rounding adjustment.</t>
  </si>
  <si>
    <t>2025-01-F03</t>
  </si>
  <si>
    <t>F03</t>
  </si>
  <si>
    <t>L3 Jan25.pdf</t>
  </si>
  <si>
    <t>Cost_RM uses exact Caj Semasa only; excludes negative RM0.01 rounding adjustment.</t>
  </si>
  <si>
    <t>2025-02-F03</t>
  </si>
  <si>
    <t>L3 Feb 25.pdf</t>
  </si>
  <si>
    <t>Cost_RM uses exact Caj Semasa only.</t>
  </si>
  <si>
    <t>2025-03-F03</t>
  </si>
  <si>
    <t>L3 Mar 25.pdf</t>
  </si>
  <si>
    <t>Cost_RM uses exact Caj Semasa only; excludes RM0.02 rounding adjustment.</t>
  </si>
  <si>
    <t>2025-04-F03</t>
  </si>
  <si>
    <t>L3 Apr 25.pdf</t>
  </si>
  <si>
    <t>2025-05-F03</t>
  </si>
  <si>
    <t>L3 May 25.pdf</t>
  </si>
  <si>
    <t>2025-06-F03</t>
  </si>
  <si>
    <t>L3 Jun 25.pdf</t>
  </si>
  <si>
    <t>2025-07-F03</t>
  </si>
  <si>
    <t>L3 Jul 25.pdf</t>
  </si>
  <si>
    <t>2025-08-F03</t>
  </si>
  <si>
    <t>L3 Aug 25.pdf</t>
  </si>
  <si>
    <t>Cost_RM uses exact Caj Semasa only; excludes RM0.01 rounding adjustment.</t>
  </si>
  <si>
    <t>2025-09-F03</t>
  </si>
  <si>
    <t>L3 Sep 25.pdf</t>
  </si>
  <si>
    <t>2025-10-F03</t>
  </si>
  <si>
    <t>L3 Oct 25.pdf</t>
  </si>
  <si>
    <t>2025-11-F03</t>
  </si>
  <si>
    <t>L3 No 25.pdf</t>
  </si>
  <si>
    <t>Cost_RM uses exact Caj Semasa only; excludes prior balance and RM0.02 rounding adjustment.</t>
  </si>
  <si>
    <t>2025-12-F03</t>
  </si>
  <si>
    <t>L3 Dec 25.pdf</t>
  </si>
  <si>
    <t>Cost_RM uses exact Caj Semasa only; includes RM3.30 late-payment surcharge shown in Caj Semasa; excludes RM0.01 rounding adjustment.</t>
  </si>
  <si>
    <t>2025-01-F04</t>
  </si>
  <si>
    <t>F04</t>
  </si>
  <si>
    <t>220286033204</t>
  </si>
  <si>
    <t>L4 Jan25.pdf</t>
  </si>
  <si>
    <t>2025-02-F04</t>
  </si>
  <si>
    <t>L4 Feb 25.pdf</t>
  </si>
  <si>
    <t>2025-03-F04</t>
  </si>
  <si>
    <t>L4 Mar 25.pdf</t>
  </si>
  <si>
    <t>2025-04-F04</t>
  </si>
  <si>
    <t>L4 Apr 25.pdf</t>
  </si>
  <si>
    <t>Cost_RM uses exact Caj Semasa only; excludes negative RM0.02 rounding adjustment.</t>
  </si>
  <si>
    <t>2025-05-F04</t>
  </si>
  <si>
    <t>L4 May 25.pdf</t>
  </si>
  <si>
    <t>2025-06-F04</t>
  </si>
  <si>
    <t>L4 Jun 25.pdf</t>
  </si>
  <si>
    <t>2025-07-F04</t>
  </si>
  <si>
    <t>L4 Jul 25.pdf</t>
  </si>
  <si>
    <t>2025-08-F04</t>
  </si>
  <si>
    <t>L4 Aug 25.pdf</t>
  </si>
  <si>
    <t>2025-09-F04</t>
  </si>
  <si>
    <t>L4 Sep 25.pdf</t>
  </si>
  <si>
    <t>2025-10-F04</t>
  </si>
  <si>
    <t>L4 Oct 25.pdf</t>
  </si>
  <si>
    <t>2025-11-F04</t>
  </si>
  <si>
    <t>L4 Nov 25.pdf</t>
  </si>
  <si>
    <t>Cost_RM uses exact Caj Semasa only; excludes prior balance and RM0.01 rounding adjustment.</t>
  </si>
  <si>
    <t>2025-12-F04</t>
  </si>
  <si>
    <t>L4 Dec 25.pdf</t>
  </si>
  <si>
    <t>Cost_RM uses exact Caj Semasa only; includes RM2.20 late-payment surcharge shown in Caj Semasa; excludes RM0.01 rounding adjustment.</t>
  </si>
  <si>
    <t>2025-01-F05</t>
  </si>
  <si>
    <t>F05</t>
  </si>
  <si>
    <t>220286045608</t>
  </si>
  <si>
    <t>L5 Jan25.pdf</t>
  </si>
  <si>
    <t>2025-02-F05</t>
  </si>
  <si>
    <t>L5 Feb 25.pdf</t>
  </si>
  <si>
    <t>2025-03-F05</t>
  </si>
  <si>
    <t>L5 Mar 25.pdf</t>
  </si>
  <si>
    <t>2025-04-F05</t>
  </si>
  <si>
    <t>L5 Apr 25.pdf</t>
  </si>
  <si>
    <t>2025-05-F05</t>
  </si>
  <si>
    <t>L5 May 25.pdf</t>
  </si>
  <si>
    <t>2025-06-F05</t>
  </si>
  <si>
    <t>L5 Jun 25.pdf</t>
  </si>
  <si>
    <t>2025-07-F05</t>
  </si>
  <si>
    <t>L5 Jul 25.pdf</t>
  </si>
  <si>
    <t>2025-08-F05</t>
  </si>
  <si>
    <t>L5 Aug 25.pdf</t>
  </si>
  <si>
    <t>2025-09-F05</t>
  </si>
  <si>
    <t>L5 Sep 25.pdf</t>
  </si>
  <si>
    <t>2025-10-F05</t>
  </si>
  <si>
    <t>L5 Oct 25.pdf</t>
  </si>
  <si>
    <t>2025-11-F05</t>
  </si>
  <si>
    <t>L5 Nov 25.pdf</t>
  </si>
  <si>
    <t>Cost_RM uses exact Caj Semasa only; excludes prior balance and negative RM0.01 rounding adjustment.</t>
  </si>
  <si>
    <t>2025-12-F05</t>
  </si>
  <si>
    <t>L5 Dec 25.pdf</t>
  </si>
  <si>
    <t>Cost_RM uses exact Caj Semasa only; includes RM2.95 late-payment surcharge shown in Caj Semasa; excludes RM0.02 rounding adjustment.</t>
  </si>
  <si>
    <t>2025-01-F06</t>
  </si>
  <si>
    <t>F06</t>
  </si>
  <si>
    <t>220286053610</t>
  </si>
  <si>
    <t>L6 Jan25.pdf</t>
  </si>
  <si>
    <t>2025-02-F06</t>
  </si>
  <si>
    <t>L6 Feb 25.pdf</t>
  </si>
  <si>
    <t>2025-03-F06</t>
  </si>
  <si>
    <t>L6 Mar 25.pdf</t>
  </si>
  <si>
    <t>2025-04-F06</t>
  </si>
  <si>
    <t>L6 Apr 25.pdf</t>
  </si>
  <si>
    <t>2025-05-F06</t>
  </si>
  <si>
    <t>L6 May 25.pdf</t>
  </si>
  <si>
    <t>2025-06-F06</t>
  </si>
  <si>
    <t>L6 Jun 25.pdf</t>
  </si>
  <si>
    <t>2025-07-F06</t>
  </si>
  <si>
    <t>L6 Jul 25.pdf</t>
  </si>
  <si>
    <t>2025-08-F06</t>
  </si>
  <si>
    <t>L6 Aug 25.pdf</t>
  </si>
  <si>
    <t>2025-09-F06</t>
  </si>
  <si>
    <t>L6 Sep 25.pdf</t>
  </si>
  <si>
    <t>2025-10-F06</t>
  </si>
  <si>
    <t>L6 Oct 25.pdf</t>
  </si>
  <si>
    <t>2025-11-F06</t>
  </si>
  <si>
    <t>L6 Nov 25.pdf</t>
  </si>
  <si>
    <t>2025-12-F06</t>
  </si>
  <si>
    <t>L6 Dec 25.pdf</t>
  </si>
  <si>
    <t>Cost_RM uses exact Caj Semasa only; includes RM1.56 late-payment surcharge shown in Caj Semasa; excludes negative RM0.01 rounding adjustment.</t>
  </si>
  <si>
    <t>2025-01-F07</t>
  </si>
  <si>
    <t>F07</t>
  </si>
  <si>
    <t>220286060201</t>
  </si>
  <si>
    <t>L7 Jan25.pdf</t>
  </si>
  <si>
    <t>2025-02-F07</t>
  </si>
  <si>
    <t>L7 Feb 25.pdf</t>
  </si>
  <si>
    <t>2025-03-F07</t>
  </si>
  <si>
    <t>L7 Mar 25.pdf</t>
  </si>
  <si>
    <t>2025-04-F07</t>
  </si>
  <si>
    <t>L7 Apr 25.pdf</t>
  </si>
  <si>
    <t>2025-05-F07</t>
  </si>
  <si>
    <t>L7 May 25.pdf</t>
  </si>
  <si>
    <t>2025-06-F07</t>
  </si>
  <si>
    <t>L7 Jun 25.pdf</t>
  </si>
  <si>
    <t>2025-07-F07</t>
  </si>
  <si>
    <t>L7 Jul 25.pdf</t>
  </si>
  <si>
    <t>2025-08-F07</t>
  </si>
  <si>
    <t>L7 Aug 25.pdf</t>
  </si>
  <si>
    <t>2025-09-F07</t>
  </si>
  <si>
    <t>L7 Sep 25.pdf</t>
  </si>
  <si>
    <t>2025-10-F07</t>
  </si>
  <si>
    <t>L7 Oct 25.pdf</t>
  </si>
  <si>
    <t>2025-11-F07</t>
  </si>
  <si>
    <t>L7 Nov 26.pdf</t>
  </si>
  <si>
    <t>Cost_RM uses exact Caj Semasa only; excludes prior balance and negative RM0.01 rounding adjustment. Source filename retained exactly; bill period is November 2025.</t>
  </si>
  <si>
    <t>2025-12-F07</t>
  </si>
  <si>
    <t>L7 Dec 25.pdf</t>
  </si>
  <si>
    <t>Cost_RM uses exact Caj Semasa only; includes RM2.84 late-payment surcharge shown in Caj Semasa; excludes negative RM0.01 rounding adjustment.</t>
  </si>
  <si>
    <t>2025-01-F08</t>
  </si>
  <si>
    <t>F08</t>
  </si>
  <si>
    <t>220286055800</t>
  </si>
  <si>
    <t>L8 Jan25.pdf</t>
  </si>
  <si>
    <t>2025-02-F08</t>
  </si>
  <si>
    <t>L8 Feb 25.pdf</t>
  </si>
  <si>
    <t>2025-03-F08</t>
  </si>
  <si>
    <t>L8 Mar 25.pdf</t>
  </si>
  <si>
    <t>2025-04-F08</t>
  </si>
  <si>
    <t>L8 Apr 25.pdf</t>
  </si>
  <si>
    <t>2025-05-F08</t>
  </si>
  <si>
    <t>L8 May 25.pdf</t>
  </si>
  <si>
    <t>2025-06-F08</t>
  </si>
  <si>
    <t>L8 Jun 25.pdf</t>
  </si>
  <si>
    <t>2025-07-F08</t>
  </si>
  <si>
    <t>L8 Jul 25.pdf</t>
  </si>
  <si>
    <t>2025-08-F08</t>
  </si>
  <si>
    <t>L8 Aug 25.pdf</t>
  </si>
  <si>
    <t>2025-09-F08</t>
  </si>
  <si>
    <t>L8 Sep 25.pdf</t>
  </si>
  <si>
    <t>2025-10-F08</t>
  </si>
  <si>
    <t>L8 Oct 25.pdf</t>
  </si>
  <si>
    <t>2025-11-F08</t>
  </si>
  <si>
    <t>L8 Nov 25.pdf</t>
  </si>
  <si>
    <t>Cost_RM uses exact Caj Semasa only; excludes prior balance and negative RM0.02 rounding adjustment.</t>
  </si>
  <si>
    <t>2025-12-F08</t>
  </si>
  <si>
    <t>L8 Dec 25.pdf</t>
  </si>
  <si>
    <t>Cost_RM uses exact Caj Semasa only; includes RM2.99 late-payment surcharge shown in Caj Semasa; excludes RM0.01 rounding adjustment.</t>
  </si>
  <si>
    <t>2025-01-F09</t>
  </si>
  <si>
    <t>F09</t>
  </si>
  <si>
    <t>220286024804</t>
  </si>
  <si>
    <t>L9 Jan25.pdf</t>
  </si>
  <si>
    <t>2025-02-F09</t>
  </si>
  <si>
    <t>L9 Feb 25.pdf</t>
  </si>
  <si>
    <t>2025-03-F09</t>
  </si>
  <si>
    <t>L9 Mar 25.pdf</t>
  </si>
  <si>
    <t>2025-04-F09</t>
  </si>
  <si>
    <t>L9 Apr 25.pdf</t>
  </si>
  <si>
    <t>2025-05-F09</t>
  </si>
  <si>
    <t>L9 May 25.pdf</t>
  </si>
  <si>
    <t>2025-06-F09</t>
  </si>
  <si>
    <t>L9 Jun 25.pdf</t>
  </si>
  <si>
    <t>2025-07-F09</t>
  </si>
  <si>
    <t>L9 Jul 25.pdf</t>
  </si>
  <si>
    <t>2025-08-F09</t>
  </si>
  <si>
    <t>L9 Aug 25.pdf</t>
  </si>
  <si>
    <t>2025-09-F09</t>
  </si>
  <si>
    <t>L9 Sep 25.pdf</t>
  </si>
  <si>
    <t>2025-10-F09</t>
  </si>
  <si>
    <t>L9 Oct 25.pdf</t>
  </si>
  <si>
    <t>2025-11-F09</t>
  </si>
  <si>
    <t>L9 Nov 25.pdf</t>
  </si>
  <si>
    <t>2025-12-F09</t>
  </si>
  <si>
    <t>L9 Dec 25.pdf</t>
  </si>
  <si>
    <t>Cost_RM uses exact Caj Semasa only; includes RM3.18 late-payment surcharge shown in Caj Semasa; excludes RM0.01 rounding adjustment.</t>
  </si>
  <si>
    <t>2025-01-F10</t>
  </si>
  <si>
    <t>F10</t>
  </si>
  <si>
    <t>220286066706</t>
  </si>
  <si>
    <t>L10 Jan25.pdf</t>
  </si>
  <si>
    <t>2025-02-F10</t>
  </si>
  <si>
    <t>L10 Feb 25.pdf</t>
  </si>
  <si>
    <t>2025-03-F10</t>
  </si>
  <si>
    <t>L10 Mar 25.pdf</t>
  </si>
  <si>
    <t>2025-04-F10</t>
  </si>
  <si>
    <t>L10 Apr 25.pdf</t>
  </si>
  <si>
    <t>2025-05-F10</t>
  </si>
  <si>
    <t>L10 May 25.pdf</t>
  </si>
  <si>
    <t>2025-06-F10</t>
  </si>
  <si>
    <t>L10 Jun 25.pdf</t>
  </si>
  <si>
    <t>2025-07-F10</t>
  </si>
  <si>
    <t>L10 Jul 25.pdf</t>
  </si>
  <si>
    <t>2025-08-F10</t>
  </si>
  <si>
    <t>L10 Aug 25.pdf</t>
  </si>
  <si>
    <t>2025-09-F10</t>
  </si>
  <si>
    <t>L10 Sep 25.pdf</t>
  </si>
  <si>
    <t>2025-10-F10</t>
  </si>
  <si>
    <t>L10 Oct 25.pdf</t>
  </si>
  <si>
    <t>2025-11-F10</t>
  </si>
  <si>
    <t>L10 Nov 25.pdf</t>
  </si>
  <si>
    <t>2025-12-F10</t>
  </si>
  <si>
    <t>L10 Dec 25.pdf</t>
  </si>
  <si>
    <t>Cost_RM uses exact Caj Semasa only; includes RM3.82 late-payment surcharge shown in Caj Semasa; excludes negative RM0.02 rounding adjustment.</t>
  </si>
  <si>
    <t>2025-01-F11</t>
  </si>
  <si>
    <t>F11</t>
  </si>
  <si>
    <t>220285305103</t>
  </si>
  <si>
    <t>L11Jan25.pdf</t>
  </si>
  <si>
    <t>2025-02-F11</t>
  </si>
  <si>
    <t>L11Feb 25.pdf</t>
  </si>
  <si>
    <t>2025-03-F11</t>
  </si>
  <si>
    <t>L11Mar 25.pdf</t>
  </si>
  <si>
    <t>2025-04-F11</t>
  </si>
  <si>
    <t>L11 Apr 25.pdf</t>
  </si>
  <si>
    <t>2025-05-F11</t>
  </si>
  <si>
    <t>L11May 25.pdf</t>
  </si>
  <si>
    <t>2025-06-F11</t>
  </si>
  <si>
    <t>L11Jun 25.pdf</t>
  </si>
  <si>
    <t>2025-07-F11</t>
  </si>
  <si>
    <t>L11Jul 25.pdf</t>
  </si>
  <si>
    <t>2025-08-F11</t>
  </si>
  <si>
    <t>L11Aug 25.pdf</t>
  </si>
  <si>
    <t>2025-09-F11</t>
  </si>
  <si>
    <t>L11Sep 25.pdf</t>
  </si>
  <si>
    <t>2025-10-F11</t>
  </si>
  <si>
    <t>L11Oct 25.pdf</t>
  </si>
  <si>
    <t>2025-11-F11</t>
  </si>
  <si>
    <t>L11Nov 25.pdf</t>
  </si>
  <si>
    <t>Cost_RM uses exact Caj Semasa only; excludes prior balance.</t>
  </si>
  <si>
    <t>2025-12-F11</t>
  </si>
  <si>
    <t>L11Dec 25.pdf</t>
  </si>
  <si>
    <t>Cost_RM uses exact Caj Semasa only; includes RM2.04 late-payment surcharge shown in Caj Semasa; excludes negative RM0.01 rounding adjustment.</t>
  </si>
  <si>
    <t>2025-01-F12</t>
  </si>
  <si>
    <t>F12</t>
  </si>
  <si>
    <t>220286039404</t>
  </si>
  <si>
    <t>L12 Jan25.pdf</t>
  </si>
  <si>
    <t>2025-02-F12</t>
  </si>
  <si>
    <t>L12 Feb 25.pdf</t>
  </si>
  <si>
    <t>2025-03-F12</t>
  </si>
  <si>
    <t>L12 Mar 25.pdf</t>
  </si>
  <si>
    <t>2025-04-F12</t>
  </si>
  <si>
    <t>Estimated Bill</t>
  </si>
  <si>
    <t>L12 Apr 25.pdf</t>
  </si>
  <si>
    <t>Issue Identified</t>
  </si>
  <si>
    <t>Estimated reading due to suspected meter fault; meter-section maximum demand unavailable.</t>
  </si>
  <si>
    <t>2025-05-F12</t>
  </si>
  <si>
    <t>L12 May 25.pdf</t>
  </si>
  <si>
    <t>61-day correction bill following meter replacement; reverses prior April estimate. Exact negative Caj Semasa retained.</t>
  </si>
  <si>
    <t>2025-06-F12</t>
  </si>
  <si>
    <t>L12 Jun 25.pdf</t>
  </si>
  <si>
    <t>Cost_RM uses exact Caj Semasa only; excludes prior credit balance.</t>
  </si>
  <si>
    <t>2025-07-F12</t>
  </si>
  <si>
    <t>L12 Jul 25.pdf</t>
  </si>
  <si>
    <t>2025-08-F12</t>
  </si>
  <si>
    <t>L12 Aug 25.pdf</t>
  </si>
  <si>
    <t>2025-09-F12</t>
  </si>
  <si>
    <t>L12 Sep 25.pdf</t>
  </si>
  <si>
    <t>Cost_RM uses exact Caj Semasa only; excludes prior credit balance and RM0.02 rounding adjustment.</t>
  </si>
  <si>
    <t>2025-10-F12</t>
  </si>
  <si>
    <t>L12 Oct 25.pdf</t>
  </si>
  <si>
    <t>2025-11-F12</t>
  </si>
  <si>
    <t>L12 Nov 26.pdf</t>
  </si>
  <si>
    <t>Source filename retained exactly; bill period is November 2025. Cost_RM excludes prior balance.</t>
  </si>
  <si>
    <t>2025-12-F12</t>
  </si>
  <si>
    <t>L12 Dec 25.pdf</t>
  </si>
  <si>
    <t>Cost_RM uses exact Caj Semasa only; includes RM2.46 late-payment surcharge; excludes RM0.02 rounding adjustment.</t>
  </si>
  <si>
    <t>2025-01-F13</t>
  </si>
  <si>
    <t>F13</t>
  </si>
  <si>
    <t>220286027708</t>
  </si>
  <si>
    <t>L13 Jan25.pdf</t>
  </si>
  <si>
    <t>2025-02-F13</t>
  </si>
  <si>
    <t>L13 Feb 25.pdf</t>
  </si>
  <si>
    <t>2025-03-F13</t>
  </si>
  <si>
    <t>L13 Mar 25.pdf</t>
  </si>
  <si>
    <t>2025-04-F13</t>
  </si>
  <si>
    <t>L13 Apr 25.pdf</t>
  </si>
  <si>
    <t>2025-05-F13</t>
  </si>
  <si>
    <t>L13 May 25.pdf</t>
  </si>
  <si>
    <t>2025-06-F13</t>
  </si>
  <si>
    <t>L13 Jun 25.pdf</t>
  </si>
  <si>
    <t>2025-07-F13</t>
  </si>
  <si>
    <t>L13 Jul 25.pdf</t>
  </si>
  <si>
    <t>2025-08-F13</t>
  </si>
  <si>
    <t>L13 Aug 25.pdf</t>
  </si>
  <si>
    <t>2025-09-F13</t>
  </si>
  <si>
    <t>L13 Sep 25.pdf</t>
  </si>
  <si>
    <t>2025-10-F13</t>
  </si>
  <si>
    <t>L13 Oct 25.pdf</t>
  </si>
  <si>
    <t>2025-11-F13</t>
  </si>
  <si>
    <t>L13 Nov 25.pdf</t>
  </si>
  <si>
    <t>2025-12-F13</t>
  </si>
  <si>
    <t>L13 Dec 25.pdf</t>
  </si>
  <si>
    <t>Cost_RM uses exact Caj Semasa only; includes RM2.31 late-payment surcharge; excludes RM0.02 rounding adjustment.</t>
  </si>
  <si>
    <t>2025-01-F14</t>
  </si>
  <si>
    <t>F14</t>
  </si>
  <si>
    <t>220286042007</t>
  </si>
  <si>
    <t>L14 Jan25.pdf</t>
  </si>
  <si>
    <t>2025-02-F14</t>
  </si>
  <si>
    <t>L14 Feb 25.pdf</t>
  </si>
  <si>
    <t>2025-03-F14</t>
  </si>
  <si>
    <t>L14 Mar 25.pdf</t>
  </si>
  <si>
    <t>2025-04-F14</t>
  </si>
  <si>
    <t>L14 Apr 25.pdf</t>
  </si>
  <si>
    <t>2025-05-F14</t>
  </si>
  <si>
    <t>L14 May 25.pdf</t>
  </si>
  <si>
    <t>2025-06-F14</t>
  </si>
  <si>
    <t>L14 Jun 25.pdf</t>
  </si>
  <si>
    <t>2025-07-F14</t>
  </si>
  <si>
    <t>L14 Jul 25.pdf</t>
  </si>
  <si>
    <t>2025-08-F14</t>
  </si>
  <si>
    <t>L14 Aug 25.pdf</t>
  </si>
  <si>
    <t>2025-09-F14</t>
  </si>
  <si>
    <t>L14 Sep 25.pdf</t>
  </si>
  <si>
    <t>2025-10-F14</t>
  </si>
  <si>
    <t>L14 Oct 25.pdf</t>
  </si>
  <si>
    <t>Cost_RM uses detailed Caj Semasa only; excludes previous balance and RM0.01 rounding adjustment.</t>
  </si>
  <si>
    <t>2025-11-F14</t>
  </si>
  <si>
    <t>L14 Nov 25.pdf</t>
  </si>
  <si>
    <t>Cost_RM uses detailed Caj Semasa only; includes RM26.79 late-payment surcharge; excludes prior balances and RM0.01 rounding adjustment.</t>
  </si>
  <si>
    <t>2025-12-F14</t>
  </si>
  <si>
    <t>L14 Dec 25.pdf</t>
  </si>
  <si>
    <t>Cost_RM uses detailed Caj Semasa only; includes RM6.89 late-payment surcharge; excludes RM0.01 rounding adjustment.</t>
  </si>
  <si>
    <t>2025-01-F15</t>
  </si>
  <si>
    <t>F15</t>
  </si>
  <si>
    <t>220286021203</t>
  </si>
  <si>
    <t>L15 Jan25.pdf</t>
  </si>
  <si>
    <t>2025-02-F15</t>
  </si>
  <si>
    <t>L15 Feb 25.pdf</t>
  </si>
  <si>
    <t>2025-03-F15</t>
  </si>
  <si>
    <t>L15 Mar 25.pdf</t>
  </si>
  <si>
    <t>2025-04-F15</t>
  </si>
  <si>
    <t>L15 L15 Apr 25.pdf</t>
  </si>
  <si>
    <t>2025-05-F15</t>
  </si>
  <si>
    <t>L15 May 25.pdf</t>
  </si>
  <si>
    <t>2025-06-F15</t>
  </si>
  <si>
    <t>L15 Jun 25.pdf</t>
  </si>
  <si>
    <t>2025-07-F15</t>
  </si>
  <si>
    <t>L15 Jul 25.pdf</t>
  </si>
  <si>
    <t>2025-08-F15</t>
  </si>
  <si>
    <t>L15 Aug 25.pdf</t>
  </si>
  <si>
    <t>2025-09-F15</t>
  </si>
  <si>
    <t>L15 Sep 25.pdf</t>
  </si>
  <si>
    <t>2025-10-F15</t>
  </si>
  <si>
    <t>L15 Oct 25.pdf</t>
  </si>
  <si>
    <t>2025-11-F15</t>
  </si>
  <si>
    <t>L15 Nov 25.pdf</t>
  </si>
  <si>
    <t>2025-12-F15</t>
  </si>
  <si>
    <t>L15 Dec 25.pdf</t>
  </si>
  <si>
    <t>Cost_RM uses exact Caj Semasa only; includes RM2.04 late-payment surcharge.</t>
  </si>
  <si>
    <t>2025-01-F16</t>
  </si>
  <si>
    <t>F16</t>
  </si>
  <si>
    <t>220286015304</t>
  </si>
  <si>
    <t>L16 Jan25.pdf</t>
  </si>
  <si>
    <t>2025-02-F16</t>
  </si>
  <si>
    <t>L16 Feb 25.pdf</t>
  </si>
  <si>
    <t>2025-03-F16</t>
  </si>
  <si>
    <t>L16 Mar 25.pdf</t>
  </si>
  <si>
    <t>2025-04-F16</t>
  </si>
  <si>
    <t>L16 Apr 25.pdf</t>
  </si>
  <si>
    <t>2025-05-F16</t>
  </si>
  <si>
    <t>L16 May 25.pdf</t>
  </si>
  <si>
    <t>2025-06-F16</t>
  </si>
  <si>
    <t>L16 Jun 25.pdf</t>
  </si>
  <si>
    <t>2025-07-F16</t>
  </si>
  <si>
    <t>L16 Jul 25.pdf</t>
  </si>
  <si>
    <t>2025-08-F16</t>
  </si>
  <si>
    <t>L16 Aug 25.pdf</t>
  </si>
  <si>
    <t>2025-09-F16</t>
  </si>
  <si>
    <t>L16 Sep 25.pdf</t>
  </si>
  <si>
    <t>2025-10-F16</t>
  </si>
  <si>
    <t>L16 Oct 25.pdf</t>
  </si>
  <si>
    <t>2025-11-F16</t>
  </si>
  <si>
    <t>L16 Nov 25.pdf</t>
  </si>
  <si>
    <t>2025-12-F16</t>
  </si>
  <si>
    <t>L16 Dec 25.pdf</t>
  </si>
  <si>
    <t>Cost_RM uses exact Caj Semasa only; includes RM1.65 late-payment surcharge and excludes RM0.01 rounding adjustment.</t>
  </si>
  <si>
    <t>Validation Summary</t>
  </si>
  <si>
    <t>Annual Level 1</t>
  </si>
  <si>
    <t>Annual Level 2</t>
  </si>
  <si>
    <t>Annual Level 3</t>
  </si>
  <si>
    <t>Annual Level 4</t>
  </si>
  <si>
    <t>Annual Level 5</t>
  </si>
  <si>
    <t>Annual Level 6</t>
  </si>
  <si>
    <t>Annual Level 7</t>
  </si>
  <si>
    <t>Annual Level 8</t>
  </si>
  <si>
    <t>Annual Level 9</t>
  </si>
  <si>
    <t>Annual Level 10</t>
  </si>
  <si>
    <t>Annual Level 11</t>
  </si>
  <si>
    <t>Annual Level 12</t>
  </si>
  <si>
    <t>Annual Level 13</t>
  </si>
  <si>
    <t>Annual Level 14</t>
  </si>
  <si>
    <t>Annual Level 15</t>
  </si>
  <si>
    <t>Annual Level 16</t>
  </si>
  <si>
    <t>Combined F01-F16</t>
  </si>
  <si>
    <t>Floor Master</t>
  </si>
  <si>
    <t>Pre-listed Menara CGC floors. Complete only confirmed information; unknown fields may remain blank.</t>
  </si>
  <si>
    <t>Floor_Name</t>
  </si>
  <si>
    <t>Floor_Use</t>
  </si>
  <si>
    <t>Area_m2</t>
  </si>
  <si>
    <t>Employee_Count</t>
  </si>
  <si>
    <t>Data_Centre_Flag</t>
  </si>
  <si>
    <t>Active_From</t>
  </si>
  <si>
    <t>Active_To</t>
  </si>
  <si>
    <t>Floor 1</t>
  </si>
  <si>
    <t>Main Branch</t>
  </si>
  <si>
    <t>No</t>
  </si>
  <si>
    <t>Floor 2</t>
  </si>
  <si>
    <t>CGC Digital</t>
  </si>
  <si>
    <t>Floor 3</t>
  </si>
  <si>
    <t>Business Division</t>
  </si>
  <si>
    <t>Floor 4</t>
  </si>
  <si>
    <t>Internal Audit / Data Centre</t>
  </si>
  <si>
    <t>Yes</t>
  </si>
  <si>
    <t>Floor 5</t>
  </si>
  <si>
    <t>IT Division</t>
  </si>
  <si>
    <t>Floor 6</t>
  </si>
  <si>
    <t>Board Room</t>
  </si>
  <si>
    <t>Floor 7</t>
  </si>
  <si>
    <t>Multipurpose Hall</t>
  </si>
  <si>
    <t>Floor 8</t>
  </si>
  <si>
    <t>Facilities &amp; Administration / HR</t>
  </si>
  <si>
    <t>Floor 9</t>
  </si>
  <si>
    <t>Credit Division / CSC / SA&amp;SA</t>
  </si>
  <si>
    <t>Floor 10</t>
  </si>
  <si>
    <t>DDD / CIV / RMD / FMR / TRO</t>
  </si>
  <si>
    <t>Floor 11</t>
  </si>
  <si>
    <t>SRD / CLD / BMD / GMR</t>
  </si>
  <si>
    <t>Floor 12</t>
  </si>
  <si>
    <t>Finance Division</t>
  </si>
  <si>
    <t>Floor 13</t>
  </si>
  <si>
    <t>SPD / SDA / CC&amp;SR / TRO</t>
  </si>
  <si>
    <t>Floor 14</t>
  </si>
  <si>
    <t>LCS / INV</t>
  </si>
  <si>
    <t>Floor 15</t>
  </si>
  <si>
    <t>Management Office</t>
  </si>
  <si>
    <t>Floor 16</t>
  </si>
  <si>
    <t>PCEO Office</t>
  </si>
  <si>
    <t>Aggregate floor/month information only. Do not enter employee names.</t>
  </si>
  <si>
    <t>Occupant_Days</t>
  </si>
  <si>
    <t>Working_Days</t>
  </si>
  <si>
    <t>Data_Owner</t>
  </si>
  <si>
    <t>Aggregation_Level</t>
  </si>
  <si>
    <t>Corporate Sustainability</t>
  </si>
  <si>
    <t>Annual floor average</t>
  </si>
  <si>
    <t>2025 annual average employee count; reference date denotes reporting year, not January-only occupancy.</t>
  </si>
  <si>
    <t>Missing</t>
  </si>
  <si>
    <t>2025 average employee count not provided (source showed "-"); retained as blank, not zero.</t>
  </si>
  <si>
    <t>Emission Factor</t>
  </si>
  <si>
    <t>Enter only a confirmed, approved factor and retain its source.</t>
  </si>
  <si>
    <t>Year</t>
  </si>
  <si>
    <t>Factor_Value</t>
  </si>
  <si>
    <t>Unit</t>
  </si>
  <si>
    <t>Jurisdiction</t>
  </si>
  <si>
    <t>Effective_From</t>
  </si>
  <si>
    <t>Effective_To</t>
  </si>
  <si>
    <t>Source</t>
  </si>
  <si>
    <t>Approval_Status</t>
  </si>
  <si>
    <t>kgCO2e/kWh</t>
  </si>
  <si>
    <t>Malaysia</t>
  </si>
  <si>
    <t>Suruhanjaya Tenaga</t>
  </si>
  <si>
    <t>Approved</t>
  </si>
  <si>
    <t>Existing workbook value; confirm applicability before production use.</t>
  </si>
  <si>
    <t>Building-wide realized blended electricity rate for MCGC. Calculated from all F01-F16 bill records for each tariff period; do not add separate demand or other charges.</t>
  </si>
  <si>
    <t>Tariff_ID</t>
  </si>
  <si>
    <t>Energy_Rate_RM_per_kWh</t>
  </si>
  <si>
    <t>Demand_Rate_RM_per_kW</t>
  </si>
  <si>
    <t>Other_Charges_RM</t>
  </si>
  <si>
    <t>MCGC-2025-H1-BLENDED</t>
  </si>
  <si>
    <t>2025 TNB bills recorded in Energy_Data</t>
  </si>
  <si>
    <t>Weighted blended rate = aggregate exact Caj Semasa / aggregate kWh for Jan-Jun 2025 across F01-F16. Includes bill-applied ICPT/KWTBB and power-factor effects where applicable; excludes rounding adjustments and prior balances. Not an approved standalone tariff component.</t>
  </si>
  <si>
    <t>MCGC-2025-H2-BLENDED</t>
  </si>
  <si>
    <t>Weighted blended rate = aggregate exact Caj Semasa / aggregate kWh for Jul-Dec 2025 across F01-F16, reflecting the tariff structure effective 1 Jul 2025 and monthly AFA outcomes. Includes bill-applied KWTBB, retail/power-factor effects and retained late-payment surcharges where present. Not an approved standalone tariff component.</t>
  </si>
  <si>
    <t>Recommendation Library</t>
  </si>
  <si>
    <t>CGC audit measures and voluntary employee actions. Review and approve before Copilot use; savings are indicative, not guaranteed.</t>
  </si>
  <si>
    <t>Recommendation_ID</t>
  </si>
  <si>
    <t>Source_Type</t>
  </si>
  <si>
    <t>Audience</t>
  </si>
  <si>
    <t>Category</t>
  </si>
  <si>
    <t>Trigger_Condition</t>
  </si>
  <si>
    <t>Recommended_Action</t>
  </si>
  <si>
    <t>Estimate_Type</t>
  </si>
  <si>
    <t>Estimated_kWh_Saving</t>
  </si>
  <si>
    <t>Saving_Period</t>
  </si>
  <si>
    <t>Source_Reported_RM_Saving</t>
  </si>
  <si>
    <t>Source_Reported_CO2e_t</t>
  </si>
  <si>
    <t>Assumed_Avoided_Watts</t>
  </si>
  <si>
    <t>Hours_Avoided_Per_Occurrence</t>
  </si>
  <si>
    <t>Occurrences_Per_Year</t>
  </si>
  <si>
    <t>Calculation_Basis</t>
  </si>
  <si>
    <t>Calculated_CO2e_kg</t>
  </si>
  <si>
    <t>Calculated_RM_Saving</t>
  </si>
  <si>
    <t>Evidence_Source</t>
  </si>
  <si>
    <t>Source_URL_or_Document</t>
  </si>
  <si>
    <t>Confidence</t>
  </si>
  <si>
    <t>Owner_Function</t>
  </si>
  <si>
    <t>Copilot_Response_Note</t>
  </si>
  <si>
    <t>Disclaimer</t>
  </si>
  <si>
    <t>AUD-001</t>
  </si>
  <si>
    <t>CGC Energy Audit</t>
  </si>
  <si>
    <t>Facilities</t>
  </si>
  <si>
    <t>Air-conditioning</t>
  </si>
  <si>
    <t>Material after-hours/night/weekend use</t>
  </si>
  <si>
    <t>Align AHU operating hours with actual occupancy and investigate unnecessary night/weekend operation.</t>
  </si>
  <si>
    <t>Audit estimate</t>
  </si>
  <si>
    <t>Annual</t>
  </si>
  <si>
    <t>CGC audit reported values shown; treat as opportunity, not realized savings.</t>
  </si>
  <si>
    <t>Energy Audit Findings_July 2026 / Emission Reduction Roadmap Drafting</t>
  </si>
  <si>
    <t>High</t>
  </si>
  <si>
    <t>Draft</t>
  </si>
  <si>
    <t>Present as an audit-derived opportunity; do not describe as realized savings.</t>
  </si>
  <si>
    <t>Subject to technical validation, approval, implementation and measurement &amp; verification.</t>
  </si>
  <si>
    <t>AUD-002</t>
  </si>
  <si>
    <t>Overcooling or inefficient AHU supply-air conditions</t>
  </si>
  <si>
    <t>Optimize AHU supply-air temperature through Facilities controls and engineering validation.</t>
  </si>
  <si>
    <t>AUD-003</t>
  </si>
  <si>
    <t>Low chilled-water delta-T or poor cooling efficiency</t>
  </si>
  <si>
    <t>Investigate and improve chilled-water delta-T performance through Facilities maintenance.</t>
  </si>
  <si>
    <t>AUD-004</t>
  </si>
  <si>
    <t>ACPU deterioration or underperformance</t>
  </si>
  <si>
    <t>Undertake mechanical restoration of ACPUs based on engineering assessment.</t>
  </si>
  <si>
    <t>AUD-005</t>
  </si>
  <si>
    <t>Baseload</t>
  </si>
  <si>
    <t>Night or weekend baseload remains elevated</t>
  </si>
  <si>
    <t>Run a baseload reduction program and verify safely switchable equipment before shutdown.</t>
  </si>
  <si>
    <t>AUD-006</t>
  </si>
  <si>
    <t>Sustainability</t>
  </si>
  <si>
    <t>Energy Management</t>
  </si>
  <si>
    <t>Monitoring, targets and accountability are limited</t>
  </si>
  <si>
    <t>Establish an Energy Management System with policy, committee, targets, dashboard and awareness.</t>
  </si>
  <si>
    <t>AUD-007</t>
  </si>
  <si>
    <t>Power Factor</t>
  </si>
  <si>
    <t>Average power factor remains below target</t>
  </si>
  <si>
    <t>Assess power-factor correction; treat benefit primarily as utility-cost reduction.</t>
  </si>
  <si>
    <t>AUD-008</t>
  </si>
  <si>
    <t>Data Centre</t>
  </si>
  <si>
    <t>Data-center cooling is inefficient</t>
  </si>
  <si>
    <t>Optimize server-room cooling through Facilities/IT engineering controls.</t>
  </si>
  <si>
    <t>AUD-009</t>
  </si>
  <si>
    <t>PUE and airflow indicate a containment opportunity</t>
  </si>
  <si>
    <t>Assess cold-aisle containment and airflow management.</t>
  </si>
  <si>
    <t>AUD-010</t>
  </si>
  <si>
    <t>Lighting</t>
  </si>
  <si>
    <t>Lighting remains on when areas are unoccupied</t>
  </si>
  <si>
    <t>Review schedules, manual controls, occupancy sensors and remaining efficient-lighting upgrades.</t>
  </si>
  <si>
    <t>Not quantified</t>
  </si>
  <si>
    <t>CGC audit recommendation; no quantified saving stated.</t>
  </si>
  <si>
    <t>Medium</t>
  </si>
  <si>
    <t>AUD-011</t>
  </si>
  <si>
    <t>Demand Management</t>
  </si>
  <si>
    <t>Simultaneous major-equipment startup contributes to peaks</t>
  </si>
  <si>
    <t>Stagger major-equipment startup and validate operational constraints.</t>
  </si>
  <si>
    <t>AUD-012</t>
  </si>
  <si>
    <t>Employee energy-saving behavior is not systematic</t>
  </si>
  <si>
    <t>Run voluntary employee energy-awareness campaigns and team challenges using aggregated results.</t>
  </si>
  <si>
    <t>EMP-001</t>
  </si>
  <si>
    <t>Employee Behavioral</t>
  </si>
  <si>
    <t>Employee</t>
  </si>
  <si>
    <t>Office Equipment</t>
  </si>
  <si>
    <t>At end of workday</t>
  </si>
  <si>
    <t>Shut down the monitor and use automatic sleep settings when away.</t>
  </si>
  <si>
    <t>Scenario estimate</t>
  </si>
  <si>
    <t>Per person or stated room/action scenario</t>
  </si>
  <si>
    <t>15 W x 2 hours x 240 workdays / 1,000. Replace with measured device power.</t>
  </si>
  <si>
    <t>ENERGY STAR - Monitors</t>
  </si>
  <si>
    <t>https://www.energystar.gov/products/monitors</t>
  </si>
  <si>
    <t>Offer as a voluntary action and show assumptions used.</t>
  </si>
  <si>
    <t>Indicative estimate only. Do not use for performance monitoring or claim as measured individual savings.</t>
  </si>
  <si>
    <t>EMP-002</t>
  </si>
  <si>
    <t>During lunch or meetings</t>
  </si>
  <si>
    <t>Put laptop and monitor into sleep mode rather than leaving them active.</t>
  </si>
  <si>
    <t>20 W x 1 hour x 220 workdays / 1,000.</t>
  </si>
  <si>
    <t>U.S. Department of Energy - Computers and office equipment</t>
  </si>
  <si>
    <t>https://www.energy.gov/energysaver/energy-efficient-computers-home-office-equipment-and-electronics</t>
  </si>
  <si>
    <t>EMP-003</t>
  </si>
  <si>
    <t>Shut down laptop and approved peripherals instead of leaving them on overnight.</t>
  </si>
  <si>
    <t>5 W x 14 after-hours x 240 workdays / 1,000.</t>
  </si>
  <si>
    <t>Low</t>
  </si>
  <si>
    <t>EMP-004</t>
  </si>
  <si>
    <t>Meeting Rooms</t>
  </si>
  <si>
    <t>Leaving a meeting room</t>
  </si>
  <si>
    <t>Switch off meeting-room lights when empty.</t>
  </si>
  <si>
    <t>100 W x 2 hours x 240 days / 1,000. Replace with actual lighting load.</t>
  </si>
  <si>
    <t>Carbon Trust - Office energy efficiency guides</t>
  </si>
  <si>
    <t>https://www.carbontrust.com/our-work-and-impact/guides-reports-and-tools/office-energy-efficiency-guides</t>
  </si>
  <si>
    <t>EMP-005</t>
  </si>
  <si>
    <t>Switch off display, conferencing equipment and approved peripherals when not required.</t>
  </si>
  <si>
    <t>100 W x 2 hours x 240 days / 1,000.</t>
  </si>
  <si>
    <t>EMP-006</t>
  </si>
  <si>
    <t>Printing &amp; Paper</t>
  </si>
  <si>
    <t>Before printing</t>
  </si>
  <si>
    <t>Use digital review, print only when necessary, and use duplex/default settings.</t>
  </si>
  <si>
    <t>Qualitative only</t>
  </si>
  <si>
    <t>No defensible direct electricity saving assigned; paper reduction is a broader resource benefit.</t>
  </si>
  <si>
    <t>ENERGY STAR - Imaging equipment</t>
  </si>
  <si>
    <t>https://www.energystar.gov/products/office_equipment/imaging_equipment</t>
  </si>
  <si>
    <t>EMP-007</t>
  </si>
  <si>
    <t>Lift/Stairs</t>
  </si>
  <si>
    <t>Short trip when physically able and safe</t>
  </si>
  <si>
    <t>Use stairs voluntarily for a small number of floors.</t>
  </si>
  <si>
    <t>No per-person kWh assigned because marginal lift savings depend on dispatch, occupancy, standby and regeneration.</t>
  </si>
  <si>
    <t>U.S. General Services Administration - Sustainable facilities resources</t>
  </si>
  <si>
    <t>https://www.gsa.gov/governmentwide-initiatives/federal-highperformance-green-buildings</t>
  </si>
  <si>
    <t>EMP-008</t>
  </si>
  <si>
    <t>Plug Loads</t>
  </si>
  <si>
    <t>At end of day</t>
  </si>
  <si>
    <t>Switch off approved personal fans, lamps and other nonessential plug loads.</t>
  </si>
  <si>
    <t>40 W x 2 hours x 240 workdays / 1,000.</t>
  </si>
  <si>
    <t>EMP-009</t>
  </si>
  <si>
    <t>Workspace feels too cold or warm</t>
  </si>
  <si>
    <t>Report comfort issues; keep doors/windows closed and avoid personal heaters unless approved.</t>
  </si>
  <si>
    <t>Quantifies avoided 1.5 kW heater for 1 hour on 60 occasions; excludes building HVAC savings.</t>
  </si>
  <si>
    <t>EMP-010</t>
  </si>
  <si>
    <t>Naturally lit or unoccupied zone</t>
  </si>
  <si>
    <t>Switch off nonessential lights where controls and safety requirements allow.</t>
  </si>
  <si>
    <t>EMP-011</t>
  </si>
  <si>
    <t>Workspace Consolidation</t>
  </si>
  <si>
    <t>Several areas used at low occupancy</t>
  </si>
  <si>
    <t>Consolidate use into fewer rooms/zones so unused lighting and approved equipment can be off.</t>
  </si>
  <si>
    <t>500 W x 2 hours x 50 occasions / 1,000; HVAC excluded unless zoned control confirmed.</t>
  </si>
  <si>
    <t>EMP-012</t>
  </si>
  <si>
    <t>Selecting a room for a small meeting</t>
  </si>
  <si>
    <t>Book a right-sized room and release unused bookings.</t>
  </si>
  <si>
    <t>150 W x 1 hour x 100 bookings / 1,000; HVAC excluded.</t>
  </si>
  <si>
    <t>EMP-013</t>
  </si>
  <si>
    <t>Peripherals remain energized</t>
  </si>
  <si>
    <t>Use approved switched power strips for nonessential peripherals after work.</t>
  </si>
  <si>
    <t>3 W x 14 hours x 240 workdays / 1,000.</t>
  </si>
  <si>
    <t>EMP-014</t>
  </si>
  <si>
    <t>A document must be printed</t>
  </si>
  <si>
    <t>Batch print jobs and use shared ENERGY STAR-qualified multifunction equipment.</t>
  </si>
  <si>
    <t>No direct kWh assigned; energy per page depends on model, warm-up cycles and job size.</t>
  </si>
  <si>
    <t>Employee Estimate Input</t>
  </si>
  <si>
    <t>IMPORTANT: Outputs are estimated allocations, not individually metered consumption. Use pseudonymous IDs only.</t>
  </si>
  <si>
    <t>Pseudonymous_Person_ID</t>
  </si>
  <si>
    <t>FTE</t>
  </si>
  <si>
    <t>Attendance_Days</t>
  </si>
  <si>
    <t>Data Issue Log</t>
  </si>
  <si>
    <t>Track data gaps, discrepancies, reconciliation items and corrective actions.</t>
  </si>
  <si>
    <t>Issue_ID</t>
  </si>
  <si>
    <t>Dataset</t>
  </si>
  <si>
    <t>Period</t>
  </si>
  <si>
    <t>Issue_Type</t>
  </si>
  <si>
    <t>Severity</t>
  </si>
  <si>
    <t>Resolution</t>
  </si>
  <si>
    <t>Status</t>
  </si>
  <si>
    <t>Closed_Date</t>
  </si>
  <si>
    <t>ISS-F12-2025-04</t>
  </si>
  <si>
    <t>Apr-May 2025</t>
  </si>
  <si>
    <t>Reconciliation Difference</t>
  </si>
  <si>
    <t>April estimated bill reversed in May after meter replacement; exact billed values retained.</t>
  </si>
  <si>
    <t>Resolved</t>
  </si>
  <si>
    <t>April demand unavailable; May is a 61-day correction bill.</t>
  </si>
  <si>
    <t>Yes_No</t>
  </si>
  <si>
    <t>Issue_Status</t>
  </si>
  <si>
    <t>Not Reviewed</t>
  </si>
  <si>
    <t>Floor-Month</t>
  </si>
  <si>
    <t>Open</t>
  </si>
  <si>
    <t>Missing Data</t>
  </si>
  <si>
    <t>Meter Reading</t>
  </si>
  <si>
    <t>Pending Validation</t>
  </si>
  <si>
    <t>Pending Approval</t>
  </si>
  <si>
    <t>Building-Month</t>
  </si>
  <si>
    <t>In Progress</t>
  </si>
  <si>
    <t>Duplicate Record</t>
  </si>
  <si>
    <t>Allocated</t>
  </si>
  <si>
    <t>Pseudonymous Person-Month</t>
  </si>
  <si>
    <t>Outlier</t>
  </si>
  <si>
    <t>Finance</t>
  </si>
  <si>
    <t>Rejected</t>
  </si>
  <si>
    <t>Critical</t>
  </si>
  <si>
    <t>Closed</t>
  </si>
  <si>
    <t>HR</t>
  </si>
  <si>
    <t>Invalid Format</t>
  </si>
  <si>
    <t>IT</t>
  </si>
  <si>
    <t>Unapproved Source</t>
  </si>
  <si>
    <t>Procurement</t>
  </si>
  <si>
    <t>Carbon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</si>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</sst>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RM &quot;#,##0.00"/>
    <numFmt numFmtId="165" formatCode="mmm\-yyyy"/>
    <numFmt numFmtId="166" formatCode="dd\-mmm\-yyyy"/>
    <numFmt numFmtId="167" formatCode="yyyy\-mm\-dd\ h:mm:ss"/>
    <numFmt numFmtId="168" formatCode="yyyy"/>
    <numFmt numFmtId="169" formatCode="dd\ mmm\ yyyy"/>
    <numFmt numFmtId="170" formatCode="0.0000"/>
  </numFmts>
  <fonts count="8">
    <font>
      <sz val="10"/>
      <name val="Arial"/>
      <family val="2"/>
    </font>
    <font>
      <sz val="11"/>
      <color theme="1"/>
      <name val="Calibri"/>
      <family val="2"/>
      <charset val="1"/>
    </font>
    <font>
      <b/>
      <sz val="16"/>
      <color rgb="FFFFFFFF"/>
      <name val="Cambria"/>
      <charset val="1"/>
    </font>
    <font>
      <i/>
      <sz val="11"/>
      <color rgb="FF17365D"/>
      <name val="Cambria"/>
      <charset val="1"/>
    </font>
    <font>
      <b/>
      <sz val="11"/>
      <color rgb="FFFFFFFF"/>
      <name val="Cambria"/>
      <charset val="1"/>
    </font>
    <font>
      <sz val="11"/>
      <color rgb="FF008000"/>
      <name val="Cambria"/>
      <charset val="1"/>
    </font>
    <font>
      <sz val="11"/>
      <color rgb="FF0070C0"/>
      <name val="Cambria"/>
      <charset val="1"/>
    </font>
    <font>
      <sz val="11"/>
      <color rgb="FF008000"/>
      <name val="Cambria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DEBF7"/>
        <bgColor rgb="FFCCFFFF"/>
      </patternFill>
    </fill>
    <fill>
      <patternFill patternType="solid">
        <fgColor rgb="FF008C95"/>
        <bgColor rgb="FF00808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4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17" fontId="5" fillId="0" borderId="0" xfId="0" applyNumberFormat="1" applyFont="1"/>
    <xf numFmtId="3" fontId="5" fillId="0" borderId="0" xfId="0" applyNumberFormat="1" applyFont="1"/>
    <xf numFmtId="164" fontId="5" fillId="0" borderId="0" xfId="0" applyNumberFormat="1" applyFont="1"/>
    <xf numFmtId="1" fontId="5" fillId="0" borderId="0" xfId="0" applyNumberFormat="1" applyFont="1"/>
    <xf numFmtId="165" fontId="5" fillId="0" borderId="0" xfId="0" applyNumberFormat="1" applyFont="1"/>
    <xf numFmtId="0" fontId="6" fillId="0" borderId="0" xfId="0" applyFont="1"/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vertical="top" wrapText="1"/>
    </xf>
    <xf numFmtId="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7" fontId="4" fillId="2" borderId="0" xfId="0" applyNumberFormat="1" applyFont="1" applyFill="1" applyAlignment="1">
      <alignment vertical="center" wrapText="1"/>
    </xf>
    <xf numFmtId="168" fontId="1" fillId="0" borderId="0" xfId="0" applyNumberFormat="1" applyFont="1"/>
    <xf numFmtId="0" fontId="7" fillId="5" borderId="1" xfId="0" applyFont="1" applyFill="1" applyBorder="1" applyAlignment="1">
      <alignment vertical="top" wrapText="1"/>
    </xf>
    <xf numFmtId="169" fontId="7" fillId="5" borderId="1" xfId="0" applyNumberFormat="1" applyFont="1" applyFill="1" applyBorder="1" applyAlignment="1">
      <alignment vertical="top" wrapText="1"/>
    </xf>
    <xf numFmtId="170" fontId="7" fillId="5" borderId="1" xfId="0" applyNumberFormat="1" applyFont="1" applyFill="1" applyBorder="1" applyAlignment="1">
      <alignment vertical="top" wrapText="1"/>
    </xf>
    <xf numFmtId="2" fontId="7" fillId="5" borderId="1" xfId="0" applyNumberFormat="1" applyFont="1" applyFill="1" applyBorder="1" applyAlignment="1">
      <alignment vertical="top" wrapText="1"/>
    </xf>
    <xf numFmtId="0" fontId="3" fillId="3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1" fillId="0" borderId="0" xfId="0" applyFont="1" applyAlignment="1"/>
    <xf numFmtId="0" fontId="4" fillId="4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1">
    <dxf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C95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EnergyData" displayName="tblEnergyData" ref="A3:M195" totalsRowShown="0">
  <autoFilter ref="A3:M195" xr:uid="{00000000-0009-0000-0100-000001000000}"/>
  <tableColumns count="13">
    <tableColumn id="1" xr3:uid="{00000000-0010-0000-0000-000001000000}" name="Record_ID"/>
    <tableColumn id="2" xr3:uid="{00000000-0010-0000-0000-000002000000}" name="Building_ID"/>
    <tableColumn id="3" xr3:uid="{00000000-0010-0000-0000-000003000000}" name="Month"/>
    <tableColumn id="4" xr3:uid="{00000000-0010-0000-0000-000004000000}" name="Floor_ID"/>
    <tableColumn id="5" xr3:uid="{00000000-0010-0000-0000-000005000000}" name="Electricity_kWh"/>
    <tableColumn id="6" xr3:uid="{00000000-0010-0000-0000-000006000000}" name="Cost_RM"/>
    <tableColumn id="7" xr3:uid="{00000000-0010-0000-0000-000007000000}" name="Max_Demand_kW"/>
    <tableColumn id="8" xr3:uid="{00000000-0010-0000-0000-000008000000}" name="Meter_Account"/>
    <tableColumn id="9" xr3:uid="{00000000-0010-0000-0000-000009000000}" name="Reading_Type"/>
    <tableColumn id="10" xr3:uid="{00000000-0010-0000-0000-00000A000000}" name="Source_Document"/>
    <tableColumn id="11" xr3:uid="{00000000-0010-0000-0000-00000B000000}" name="Data_Status"/>
    <tableColumn id="12" xr3:uid="{00000000-0010-0000-0000-00000C000000}" name="Quality_Status"/>
    <tableColumn id="13" xr3:uid="{00000000-0010-0000-0000-00000D000000}" name="No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FloorMaster" displayName="tblFloorMaster" ref="A3:I19" totalsRowShown="0">
  <autoFilter ref="A3:I19" xr:uid="{00000000-0009-0000-0100-000002000000}"/>
  <tableColumns count="9">
    <tableColumn id="1" xr3:uid="{00000000-0010-0000-0100-000001000000}" name="Floor_ID"/>
    <tableColumn id="2" xr3:uid="{00000000-0010-0000-0100-000002000000}" name="Floor_Name"/>
    <tableColumn id="3" xr3:uid="{00000000-0010-0000-0100-000003000000}" name="Floor_Use"/>
    <tableColumn id="4" xr3:uid="{00000000-0010-0000-0100-000004000000}" name="Area_m2"/>
    <tableColumn id="5" xr3:uid="{00000000-0010-0000-0100-000005000000}" name="Employee_Count"/>
    <tableColumn id="6" xr3:uid="{00000000-0010-0000-0100-000006000000}" name="Data_Centre_Flag"/>
    <tableColumn id="7" xr3:uid="{00000000-0010-0000-0100-000007000000}" name="Active_From"/>
    <tableColumn id="8" xr3:uid="{00000000-0010-0000-0100-000008000000}" name="Active_To"/>
    <tableColumn id="9" xr3:uid="{00000000-0010-0000-0100-000009000000}" name="Not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EmissionFactor" displayName="tblEmissionFactor" ref="A3:I4" totalsRowShown="0">
  <autoFilter ref="A3:I4" xr:uid="{00000000-0009-0000-0100-000003000000}"/>
  <tableColumns count="9">
    <tableColumn id="1" xr3:uid="{00000000-0010-0000-0200-000001000000}" name="Year"/>
    <tableColumn id="2" xr3:uid="{00000000-0010-0000-0200-000002000000}" name="Factor_Value"/>
    <tableColumn id="3" xr3:uid="{00000000-0010-0000-0200-000003000000}" name="Unit"/>
    <tableColumn id="4" xr3:uid="{00000000-0010-0000-0200-000004000000}" name="Jurisdiction"/>
    <tableColumn id="5" xr3:uid="{00000000-0010-0000-0200-000005000000}" name="Effective_From"/>
    <tableColumn id="6" xr3:uid="{00000000-0010-0000-0200-000006000000}" name="Effective_To"/>
    <tableColumn id="7" xr3:uid="{00000000-0010-0000-0200-000007000000}" name="Source"/>
    <tableColumn id="8" xr3:uid="{00000000-0010-0000-0200-000008000000}" name="Approval_Status"/>
    <tableColumn id="9" xr3:uid="{00000000-0010-0000-0200-000009000000}" name="Note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Recommendations" displayName="tblRecommendations" ref="A3:X29" totalsRowShown="0">
  <autoFilter ref="A3:X29" xr:uid="{00000000-0009-0000-0100-000004000000}"/>
  <tableColumns count="24">
    <tableColumn id="1" xr3:uid="{00000000-0010-0000-0300-000001000000}" name="Recommendation_ID"/>
    <tableColumn id="2" xr3:uid="{00000000-0010-0000-0300-000002000000}" name="Source_Type"/>
    <tableColumn id="3" xr3:uid="{00000000-0010-0000-0300-000003000000}" name="Audience"/>
    <tableColumn id="4" xr3:uid="{00000000-0010-0000-0300-000004000000}" name="Category"/>
    <tableColumn id="5" xr3:uid="{00000000-0010-0000-0300-000005000000}" name="Trigger_Condition"/>
    <tableColumn id="6" xr3:uid="{00000000-0010-0000-0300-000006000000}" name="Recommended_Action"/>
    <tableColumn id="7" xr3:uid="{00000000-0010-0000-0300-000007000000}" name="Estimate_Type"/>
    <tableColumn id="8" xr3:uid="{00000000-0010-0000-0300-000008000000}" name="Estimated_kWh_Saving"/>
    <tableColumn id="9" xr3:uid="{00000000-0010-0000-0300-000009000000}" name="Saving_Period"/>
    <tableColumn id="10" xr3:uid="{00000000-0010-0000-0300-00000A000000}" name="Source_Reported_RM_Saving"/>
    <tableColumn id="11" xr3:uid="{00000000-0010-0000-0300-00000B000000}" name="Source_Reported_CO2e_t"/>
    <tableColumn id="12" xr3:uid="{00000000-0010-0000-0300-00000C000000}" name="Assumed_Avoided_Watts"/>
    <tableColumn id="13" xr3:uid="{00000000-0010-0000-0300-00000D000000}" name="Hours_Avoided_Per_Occurrence"/>
    <tableColumn id="14" xr3:uid="{00000000-0010-0000-0300-00000E000000}" name="Occurrences_Per_Year"/>
    <tableColumn id="15" xr3:uid="{00000000-0010-0000-0300-00000F000000}" name="Calculation_Basis"/>
    <tableColumn id="16" xr3:uid="{00000000-0010-0000-0300-000010000000}" name="Calculated_CO2e_kg"/>
    <tableColumn id="17" xr3:uid="{00000000-0010-0000-0300-000011000000}" name="Calculated_RM_Saving"/>
    <tableColumn id="18" xr3:uid="{00000000-0010-0000-0300-000012000000}" name="Evidence_Source"/>
    <tableColumn id="19" xr3:uid="{00000000-0010-0000-0300-000013000000}" name="Source_URL_or_Document"/>
    <tableColumn id="20" xr3:uid="{00000000-0010-0000-0300-000014000000}" name="Confidence"/>
    <tableColumn id="21" xr3:uid="{00000000-0010-0000-0300-000015000000}" name="Owner_Function"/>
    <tableColumn id="22" xr3:uid="{00000000-0010-0000-0300-000016000000}" name="Approval_Status"/>
    <tableColumn id="23" xr3:uid="{00000000-0010-0000-0300-000017000000}" name="Copilot_Response_Note"/>
    <tableColumn id="24" xr3:uid="{00000000-0010-0000-0300-000018000000}" name="Disclaim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showGridLines="0" topLeftCell="A12" zoomScaleNormal="100" workbookViewId="0">
      <selection activeCell="D12" sqref="D12"/>
    </sheetView>
  </sheetViews>
  <sheetFormatPr defaultColWidth="8.7109375" defaultRowHeight="14.45"/>
  <cols>
    <col min="1" max="1" width="18" style="1" customWidth="1"/>
    <col min="2" max="2" width="28" style="1" customWidth="1"/>
    <col min="3" max="3" width="82" style="1" customWidth="1"/>
    <col min="4" max="4" width="22" style="1" customWidth="1"/>
  </cols>
  <sheetData>
    <row r="1" spans="1:4" ht="27.75" customHeight="1">
      <c r="A1" s="23" t="s">
        <v>0</v>
      </c>
      <c r="B1" s="25"/>
      <c r="C1" s="25"/>
      <c r="D1" s="25"/>
    </row>
    <row r="2" spans="1:4" ht="33.75" customHeight="1">
      <c r="A2" s="22" t="s">
        <v>1</v>
      </c>
      <c r="B2" s="25"/>
      <c r="C2" s="25"/>
      <c r="D2" s="25"/>
    </row>
    <row r="3" spans="1:4" ht="33.75" customHeight="1">
      <c r="A3" s="24" t="s">
        <v>2</v>
      </c>
      <c r="B3" s="25"/>
      <c r="C3" s="25"/>
      <c r="D3" s="25"/>
    </row>
    <row r="4" spans="1:4" ht="15" customHeight="1">
      <c r="A4" s="3" t="s">
        <v>3</v>
      </c>
      <c r="B4" s="3" t="s">
        <v>4</v>
      </c>
      <c r="C4" s="3" t="s">
        <v>5</v>
      </c>
      <c r="D4" s="3" t="s">
        <v>6</v>
      </c>
    </row>
    <row r="5" spans="1:4" ht="15" customHeight="1">
      <c r="A5" s="1">
        <v>1</v>
      </c>
      <c r="B5" s="1" t="s">
        <v>7</v>
      </c>
      <c r="C5" s="1" t="s">
        <v>8</v>
      </c>
      <c r="D5" s="1" t="s">
        <v>9</v>
      </c>
    </row>
    <row r="6" spans="1:4" ht="15" customHeight="1">
      <c r="A6" s="1">
        <v>2</v>
      </c>
      <c r="B6" s="1" t="s">
        <v>10</v>
      </c>
      <c r="C6" s="1" t="s">
        <v>11</v>
      </c>
      <c r="D6" s="1" t="s">
        <v>9</v>
      </c>
    </row>
    <row r="7" spans="1:4" ht="15" customHeight="1">
      <c r="A7" s="1">
        <v>3</v>
      </c>
      <c r="B7" s="1" t="s">
        <v>12</v>
      </c>
      <c r="C7" s="1" t="s">
        <v>13</v>
      </c>
      <c r="D7" s="1" t="s">
        <v>9</v>
      </c>
    </row>
    <row r="8" spans="1:4" ht="15" customHeight="1">
      <c r="A8" s="1">
        <v>4</v>
      </c>
      <c r="B8" s="1" t="s">
        <v>14</v>
      </c>
      <c r="C8" s="1" t="s">
        <v>15</v>
      </c>
      <c r="D8" s="1" t="s">
        <v>9</v>
      </c>
    </row>
    <row r="9" spans="1:4" ht="15" customHeight="1">
      <c r="A9" s="1">
        <v>5</v>
      </c>
      <c r="B9" s="1" t="s">
        <v>16</v>
      </c>
      <c r="C9" s="1" t="s">
        <v>17</v>
      </c>
      <c r="D9" s="1" t="s">
        <v>18</v>
      </c>
    </row>
    <row r="10" spans="1:4" ht="15" customHeight="1">
      <c r="A10" s="1">
        <v>6</v>
      </c>
      <c r="B10" s="1" t="s">
        <v>19</v>
      </c>
      <c r="C10" s="1" t="s">
        <v>20</v>
      </c>
      <c r="D10" s="1" t="s">
        <v>21</v>
      </c>
    </row>
    <row r="11" spans="1:4" ht="15" customHeight="1">
      <c r="A11" s="1">
        <v>7</v>
      </c>
      <c r="B11" s="1" t="s">
        <v>22</v>
      </c>
      <c r="C11" s="1" t="s">
        <v>23</v>
      </c>
      <c r="D11" s="1" t="s">
        <v>21</v>
      </c>
    </row>
    <row r="12" spans="1:4" ht="15" customHeight="1">
      <c r="A12" s="1">
        <v>8</v>
      </c>
      <c r="B12" s="1" t="s">
        <v>24</v>
      </c>
      <c r="C12" s="1" t="s">
        <v>25</v>
      </c>
      <c r="D12" s="1" t="s">
        <v>26</v>
      </c>
    </row>
    <row r="14" spans="1:4" ht="15" customHeight="1">
      <c r="A14" s="26" t="s">
        <v>27</v>
      </c>
      <c r="B14" s="25"/>
      <c r="C14" s="25"/>
      <c r="D14" s="25"/>
    </row>
    <row r="15" spans="1:4" ht="15" customHeight="1">
      <c r="A15" s="1" t="s">
        <v>28</v>
      </c>
    </row>
    <row r="16" spans="1:4" ht="15" customHeight="1">
      <c r="A16" s="1" t="s">
        <v>29</v>
      </c>
    </row>
    <row r="17" spans="1:4" ht="15" customHeight="1">
      <c r="A17" s="1" t="s">
        <v>30</v>
      </c>
    </row>
    <row r="18" spans="1:4" ht="15" customHeight="1">
      <c r="A18" s="1" t="s">
        <v>31</v>
      </c>
    </row>
    <row r="19" spans="1:4" ht="15" customHeight="1">
      <c r="A19" s="1" t="s">
        <v>32</v>
      </c>
    </row>
    <row r="20" spans="1:4" ht="15" customHeight="1">
      <c r="A20" s="1" t="s">
        <v>33</v>
      </c>
    </row>
    <row r="22" spans="1:4" ht="15" customHeight="1">
      <c r="A22" s="26" t="s">
        <v>34</v>
      </c>
      <c r="B22" s="25"/>
      <c r="C22" s="25"/>
      <c r="D22" s="25"/>
    </row>
    <row r="23" spans="1:4" ht="15" customHeight="1">
      <c r="A23" s="1" t="s">
        <v>35</v>
      </c>
      <c r="B23" s="1" t="s">
        <v>36</v>
      </c>
    </row>
    <row r="24" spans="1:4" ht="15" customHeight="1">
      <c r="A24" s="1" t="s">
        <v>37</v>
      </c>
      <c r="B24" s="1" t="s">
        <v>38</v>
      </c>
    </row>
    <row r="25" spans="1:4" ht="15" customHeight="1">
      <c r="A25" s="1" t="s">
        <v>39</v>
      </c>
      <c r="B25" s="1" t="s">
        <v>40</v>
      </c>
    </row>
    <row r="26" spans="1:4" ht="15" customHeight="1">
      <c r="A26" s="1" t="s">
        <v>41</v>
      </c>
      <c r="B26" s="1" t="s">
        <v>42</v>
      </c>
    </row>
  </sheetData>
  <mergeCells count="5">
    <mergeCell ref="A1:D1"/>
    <mergeCell ref="A22:D22"/>
    <mergeCell ref="A3:D3"/>
    <mergeCell ref="A2:D2"/>
    <mergeCell ref="A14:D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3"/>
  <sheetViews>
    <sheetView showGridLines="0" zoomScaleNormal="100" workbookViewId="0">
      <selection activeCell="C8" sqref="C8"/>
    </sheetView>
  </sheetViews>
  <sheetFormatPr defaultColWidth="8.7109375" defaultRowHeight="14.45"/>
  <cols>
    <col min="1" max="1" width="18" style="1" customWidth="1"/>
    <col min="2" max="2" width="12" style="1" customWidth="1"/>
    <col min="3" max="3" width="13" style="1" customWidth="1"/>
    <col min="4" max="4" width="10" style="1" customWidth="1"/>
    <col min="5" max="5" width="18" style="1" customWidth="1"/>
    <col min="6" max="6" width="14" style="1" customWidth="1"/>
    <col min="7" max="8" width="18" style="1" customWidth="1"/>
    <col min="9" max="9" width="16" style="1" customWidth="1"/>
    <col min="10" max="10" width="18" style="1" customWidth="1"/>
    <col min="11" max="11" width="14" style="1" customWidth="1"/>
    <col min="12" max="12" width="16" style="1" customWidth="1"/>
    <col min="13" max="13" width="68" style="1" customWidth="1"/>
  </cols>
  <sheetData>
    <row r="1" spans="1:13" ht="27.75" customHeight="1">
      <c r="A1" s="23" t="s">
        <v>43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33.75" customHeight="1">
      <c r="A2" s="22" t="s">
        <v>44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3" ht="33.75" customHeight="1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57</v>
      </c>
    </row>
    <row r="4" spans="1:13" ht="15" customHeight="1">
      <c r="A4" s="4" t="s">
        <v>58</v>
      </c>
      <c r="B4" s="4" t="s">
        <v>59</v>
      </c>
      <c r="C4" s="5">
        <v>45658</v>
      </c>
      <c r="D4" s="4" t="s">
        <v>60</v>
      </c>
      <c r="E4" s="6">
        <v>5555</v>
      </c>
      <c r="F4" s="7">
        <v>3096.57</v>
      </c>
      <c r="G4" s="8">
        <v>34</v>
      </c>
      <c r="H4" s="4" t="s">
        <v>61</v>
      </c>
      <c r="I4" s="4" t="s">
        <v>62</v>
      </c>
      <c r="J4" s="4" t="s">
        <v>63</v>
      </c>
      <c r="K4" s="4" t="s">
        <v>35</v>
      </c>
      <c r="L4" s="4" t="s">
        <v>64</v>
      </c>
      <c r="M4" s="4" t="s">
        <v>65</v>
      </c>
    </row>
    <row r="5" spans="1:13" ht="15" customHeight="1">
      <c r="A5" s="4" t="s">
        <v>66</v>
      </c>
      <c r="B5" s="4" t="s">
        <v>59</v>
      </c>
      <c r="C5" s="5">
        <v>45689</v>
      </c>
      <c r="D5" s="4" t="s">
        <v>60</v>
      </c>
      <c r="E5" s="6">
        <v>5064</v>
      </c>
      <c r="F5" s="7">
        <v>2821.5</v>
      </c>
      <c r="G5" s="8">
        <v>31</v>
      </c>
      <c r="H5" s="4" t="s">
        <v>61</v>
      </c>
      <c r="I5" s="4" t="s">
        <v>62</v>
      </c>
      <c r="J5" s="4" t="s">
        <v>67</v>
      </c>
      <c r="K5" s="4" t="s">
        <v>35</v>
      </c>
      <c r="L5" s="4" t="s">
        <v>64</v>
      </c>
      <c r="M5" s="4" t="s">
        <v>68</v>
      </c>
    </row>
    <row r="6" spans="1:13" ht="15" customHeight="1">
      <c r="A6" s="4" t="s">
        <v>69</v>
      </c>
      <c r="B6" s="4" t="s">
        <v>59</v>
      </c>
      <c r="C6" s="5">
        <v>45717</v>
      </c>
      <c r="D6" s="4" t="s">
        <v>60</v>
      </c>
      <c r="E6" s="6">
        <v>6089</v>
      </c>
      <c r="F6" s="7">
        <v>3444.45</v>
      </c>
      <c r="G6" s="8">
        <v>34</v>
      </c>
      <c r="H6" s="4" t="s">
        <v>61</v>
      </c>
      <c r="I6" s="4" t="s">
        <v>62</v>
      </c>
      <c r="J6" s="4" t="s">
        <v>70</v>
      </c>
      <c r="K6" s="4" t="s">
        <v>35</v>
      </c>
      <c r="L6" s="4" t="s">
        <v>64</v>
      </c>
      <c r="M6" s="4" t="s">
        <v>68</v>
      </c>
    </row>
    <row r="7" spans="1:13" ht="15" customHeight="1">
      <c r="A7" s="4" t="s">
        <v>71</v>
      </c>
      <c r="B7" s="4" t="s">
        <v>59</v>
      </c>
      <c r="C7" s="5">
        <v>45748</v>
      </c>
      <c r="D7" s="4" t="s">
        <v>60</v>
      </c>
      <c r="E7" s="6">
        <v>6219</v>
      </c>
      <c r="F7" s="7">
        <v>3518.33</v>
      </c>
      <c r="G7" s="8">
        <v>33</v>
      </c>
      <c r="H7" s="4" t="s">
        <v>61</v>
      </c>
      <c r="I7" s="4" t="s">
        <v>62</v>
      </c>
      <c r="J7" s="4" t="s">
        <v>72</v>
      </c>
      <c r="K7" s="4" t="s">
        <v>35</v>
      </c>
      <c r="L7" s="4" t="s">
        <v>64</v>
      </c>
      <c r="M7" s="4" t="s">
        <v>65</v>
      </c>
    </row>
    <row r="8" spans="1:13" ht="15" customHeight="1">
      <c r="A8" s="4" t="s">
        <v>73</v>
      </c>
      <c r="B8" s="4" t="s">
        <v>59</v>
      </c>
      <c r="C8" s="5">
        <v>45778</v>
      </c>
      <c r="D8" s="4" t="s">
        <v>60</v>
      </c>
      <c r="E8" s="6">
        <v>6443</v>
      </c>
      <c r="F8" s="7">
        <v>3594.05</v>
      </c>
      <c r="G8" s="8">
        <v>36</v>
      </c>
      <c r="H8" s="4" t="s">
        <v>61</v>
      </c>
      <c r="I8" s="4" t="s">
        <v>62</v>
      </c>
      <c r="J8" s="4" t="s">
        <v>74</v>
      </c>
      <c r="K8" s="4" t="s">
        <v>35</v>
      </c>
      <c r="L8" s="4" t="s">
        <v>64</v>
      </c>
      <c r="M8" s="4" t="s">
        <v>68</v>
      </c>
    </row>
    <row r="9" spans="1:13" ht="15" customHeight="1">
      <c r="A9" s="4" t="s">
        <v>75</v>
      </c>
      <c r="B9" s="4" t="s">
        <v>59</v>
      </c>
      <c r="C9" s="5">
        <v>45809</v>
      </c>
      <c r="D9" s="4" t="s">
        <v>60</v>
      </c>
      <c r="E9" s="6">
        <v>5678</v>
      </c>
      <c r="F9" s="7">
        <v>3120.04</v>
      </c>
      <c r="G9" s="8">
        <v>31</v>
      </c>
      <c r="H9" s="4" t="s">
        <v>61</v>
      </c>
      <c r="I9" s="4" t="s">
        <v>62</v>
      </c>
      <c r="J9" s="4" t="s">
        <v>76</v>
      </c>
      <c r="K9" s="4" t="s">
        <v>35</v>
      </c>
      <c r="L9" s="4" t="s">
        <v>64</v>
      </c>
      <c r="M9" s="4" t="s">
        <v>65</v>
      </c>
    </row>
    <row r="10" spans="1:13" ht="15" customHeight="1">
      <c r="A10" s="4" t="s">
        <v>77</v>
      </c>
      <c r="B10" s="4" t="s">
        <v>59</v>
      </c>
      <c r="C10" s="5">
        <v>45839</v>
      </c>
      <c r="D10" s="4" t="s">
        <v>60</v>
      </c>
      <c r="E10" s="6">
        <v>7009</v>
      </c>
      <c r="F10" s="7">
        <v>3736.14</v>
      </c>
      <c r="G10" s="8">
        <v>35</v>
      </c>
      <c r="H10" s="4" t="s">
        <v>61</v>
      </c>
      <c r="I10" s="4" t="s">
        <v>62</v>
      </c>
      <c r="J10" s="4" t="s">
        <v>78</v>
      </c>
      <c r="K10" s="4" t="s">
        <v>35</v>
      </c>
      <c r="L10" s="4" t="s">
        <v>64</v>
      </c>
      <c r="M10" s="4" t="s">
        <v>65</v>
      </c>
    </row>
    <row r="11" spans="1:13" ht="15" customHeight="1">
      <c r="A11" s="4" t="s">
        <v>79</v>
      </c>
      <c r="B11" s="4" t="s">
        <v>59</v>
      </c>
      <c r="C11" s="5">
        <v>45870</v>
      </c>
      <c r="D11" s="4" t="s">
        <v>60</v>
      </c>
      <c r="E11" s="6">
        <v>5676</v>
      </c>
      <c r="F11" s="7">
        <v>3029.18</v>
      </c>
      <c r="G11" s="8">
        <v>31</v>
      </c>
      <c r="H11" s="4" t="s">
        <v>61</v>
      </c>
      <c r="I11" s="4" t="s">
        <v>62</v>
      </c>
      <c r="J11" s="4" t="s">
        <v>80</v>
      </c>
      <c r="K11" s="4" t="s">
        <v>35</v>
      </c>
      <c r="L11" s="4" t="s">
        <v>64</v>
      </c>
      <c r="M11" s="4" t="s">
        <v>65</v>
      </c>
    </row>
    <row r="12" spans="1:13" ht="15" customHeight="1">
      <c r="A12" s="4" t="s">
        <v>81</v>
      </c>
      <c r="B12" s="4" t="s">
        <v>59</v>
      </c>
      <c r="C12" s="5">
        <v>45901</v>
      </c>
      <c r="D12" s="4" t="s">
        <v>60</v>
      </c>
      <c r="E12" s="6">
        <v>5333</v>
      </c>
      <c r="F12" s="7">
        <v>2867.19</v>
      </c>
      <c r="G12" s="8">
        <v>35</v>
      </c>
      <c r="H12" s="4" t="s">
        <v>61</v>
      </c>
      <c r="I12" s="4" t="s">
        <v>62</v>
      </c>
      <c r="J12" s="4" t="s">
        <v>82</v>
      </c>
      <c r="K12" s="4" t="s">
        <v>35</v>
      </c>
      <c r="L12" s="4" t="s">
        <v>64</v>
      </c>
      <c r="M12" s="4" t="s">
        <v>65</v>
      </c>
    </row>
    <row r="13" spans="1:13" ht="15" customHeight="1">
      <c r="A13" s="4" t="s">
        <v>83</v>
      </c>
      <c r="B13" s="4" t="s">
        <v>59</v>
      </c>
      <c r="C13" s="5">
        <v>45931</v>
      </c>
      <c r="D13" s="4" t="s">
        <v>60</v>
      </c>
      <c r="E13" s="6">
        <v>6050</v>
      </c>
      <c r="F13" s="7">
        <v>2903.53</v>
      </c>
      <c r="G13" s="8">
        <v>32</v>
      </c>
      <c r="H13" s="4" t="s">
        <v>61</v>
      </c>
      <c r="I13" s="4" t="s">
        <v>62</v>
      </c>
      <c r="J13" s="4" t="s">
        <v>84</v>
      </c>
      <c r="K13" s="4" t="s">
        <v>35</v>
      </c>
      <c r="L13" s="4" t="s">
        <v>64</v>
      </c>
      <c r="M13" s="4" t="s">
        <v>65</v>
      </c>
    </row>
    <row r="14" spans="1:13" ht="15" customHeight="1">
      <c r="A14" s="4" t="s">
        <v>85</v>
      </c>
      <c r="B14" s="4" t="s">
        <v>59</v>
      </c>
      <c r="C14" s="5">
        <v>45962</v>
      </c>
      <c r="D14" s="4" t="s">
        <v>60</v>
      </c>
      <c r="E14" s="6">
        <v>5509</v>
      </c>
      <c r="F14" s="7">
        <v>2505.04</v>
      </c>
      <c r="G14" s="8">
        <v>36</v>
      </c>
      <c r="H14" s="4" t="s">
        <v>61</v>
      </c>
      <c r="I14" s="4" t="s">
        <v>62</v>
      </c>
      <c r="J14" s="4" t="s">
        <v>86</v>
      </c>
      <c r="K14" s="4" t="s">
        <v>35</v>
      </c>
      <c r="L14" s="4" t="s">
        <v>64</v>
      </c>
      <c r="M14" s="4" t="s">
        <v>87</v>
      </c>
    </row>
    <row r="15" spans="1:13" ht="15" customHeight="1">
      <c r="A15" s="4" t="s">
        <v>88</v>
      </c>
      <c r="B15" s="4" t="s">
        <v>59</v>
      </c>
      <c r="C15" s="5">
        <v>45992</v>
      </c>
      <c r="D15" s="4" t="s">
        <v>60</v>
      </c>
      <c r="E15" s="6">
        <v>5303</v>
      </c>
      <c r="F15" s="7">
        <v>2554.0700000000002</v>
      </c>
      <c r="G15" s="8">
        <v>31</v>
      </c>
      <c r="H15" s="4" t="s">
        <v>61</v>
      </c>
      <c r="I15" s="4" t="s">
        <v>62</v>
      </c>
      <c r="J15" s="4" t="s">
        <v>89</v>
      </c>
      <c r="K15" s="4" t="s">
        <v>35</v>
      </c>
      <c r="L15" s="4" t="s">
        <v>64</v>
      </c>
      <c r="M15" s="4" t="s">
        <v>90</v>
      </c>
    </row>
    <row r="16" spans="1:13" ht="15" customHeight="1">
      <c r="A16" s="4" t="s">
        <v>91</v>
      </c>
      <c r="B16" s="4" t="s">
        <v>59</v>
      </c>
      <c r="C16" s="5">
        <v>45658</v>
      </c>
      <c r="D16" s="4" t="s">
        <v>92</v>
      </c>
      <c r="E16" s="6">
        <v>8256</v>
      </c>
      <c r="F16" s="7">
        <v>5006.66</v>
      </c>
      <c r="G16" s="8">
        <v>54</v>
      </c>
      <c r="H16" s="4" t="s">
        <v>93</v>
      </c>
      <c r="I16" s="4" t="s">
        <v>62</v>
      </c>
      <c r="J16" s="4" t="s">
        <v>94</v>
      </c>
      <c r="K16" s="4" t="s">
        <v>35</v>
      </c>
      <c r="L16" s="4" t="s">
        <v>64</v>
      </c>
      <c r="M16" s="4" t="s">
        <v>95</v>
      </c>
    </row>
    <row r="17" spans="1:13" ht="15" customHeight="1">
      <c r="A17" s="4" t="s">
        <v>96</v>
      </c>
      <c r="B17" s="4" t="s">
        <v>59</v>
      </c>
      <c r="C17" s="5">
        <v>45689</v>
      </c>
      <c r="D17" s="4" t="s">
        <v>92</v>
      </c>
      <c r="E17" s="6">
        <v>7370</v>
      </c>
      <c r="F17" s="7">
        <v>4526.6000000000004</v>
      </c>
      <c r="G17" s="8">
        <v>34</v>
      </c>
      <c r="H17" s="4" t="s">
        <v>93</v>
      </c>
      <c r="I17" s="4" t="s">
        <v>62</v>
      </c>
      <c r="J17" s="4" t="s">
        <v>97</v>
      </c>
      <c r="K17" s="4" t="s">
        <v>35</v>
      </c>
      <c r="L17" s="4" t="s">
        <v>64</v>
      </c>
      <c r="M17" s="4" t="s">
        <v>68</v>
      </c>
    </row>
    <row r="18" spans="1:13" ht="15" customHeight="1">
      <c r="A18" s="4" t="s">
        <v>98</v>
      </c>
      <c r="B18" s="4" t="s">
        <v>59</v>
      </c>
      <c r="C18" s="5">
        <v>45717</v>
      </c>
      <c r="D18" s="4" t="s">
        <v>92</v>
      </c>
      <c r="E18" s="6">
        <v>7402</v>
      </c>
      <c r="F18" s="7">
        <v>4546.33</v>
      </c>
      <c r="G18" s="8">
        <v>38</v>
      </c>
      <c r="H18" s="4" t="s">
        <v>93</v>
      </c>
      <c r="I18" s="4" t="s">
        <v>62</v>
      </c>
      <c r="J18" s="4" t="s">
        <v>99</v>
      </c>
      <c r="K18" s="4" t="s">
        <v>35</v>
      </c>
      <c r="L18" s="4" t="s">
        <v>64</v>
      </c>
      <c r="M18" s="4" t="s">
        <v>100</v>
      </c>
    </row>
    <row r="19" spans="1:13" ht="15" customHeight="1">
      <c r="A19" s="4" t="s">
        <v>101</v>
      </c>
      <c r="B19" s="4" t="s">
        <v>59</v>
      </c>
      <c r="C19" s="5">
        <v>45748</v>
      </c>
      <c r="D19" s="4" t="s">
        <v>92</v>
      </c>
      <c r="E19" s="6">
        <v>8924</v>
      </c>
      <c r="F19" s="7">
        <v>5413.13</v>
      </c>
      <c r="G19" s="8">
        <v>45</v>
      </c>
      <c r="H19" s="4" t="s">
        <v>93</v>
      </c>
      <c r="I19" s="4" t="s">
        <v>62</v>
      </c>
      <c r="J19" s="4" t="s">
        <v>102</v>
      </c>
      <c r="K19" s="4" t="s">
        <v>35</v>
      </c>
      <c r="L19" s="4" t="s">
        <v>64</v>
      </c>
      <c r="M19" s="4" t="s">
        <v>100</v>
      </c>
    </row>
    <row r="20" spans="1:13" ht="15" customHeight="1">
      <c r="A20" s="4" t="s">
        <v>103</v>
      </c>
      <c r="B20" s="4" t="s">
        <v>59</v>
      </c>
      <c r="C20" s="5">
        <v>45778</v>
      </c>
      <c r="D20" s="4" t="s">
        <v>92</v>
      </c>
      <c r="E20" s="6">
        <v>8808</v>
      </c>
      <c r="F20" s="7">
        <v>5271.95</v>
      </c>
      <c r="G20" s="8">
        <v>47</v>
      </c>
      <c r="H20" s="4" t="s">
        <v>93</v>
      </c>
      <c r="I20" s="4" t="s">
        <v>62</v>
      </c>
      <c r="J20" s="4" t="s">
        <v>104</v>
      </c>
      <c r="K20" s="4" t="s">
        <v>35</v>
      </c>
      <c r="L20" s="4" t="s">
        <v>64</v>
      </c>
      <c r="M20" s="4" t="s">
        <v>68</v>
      </c>
    </row>
    <row r="21" spans="1:13" ht="15" customHeight="1">
      <c r="A21" s="4" t="s">
        <v>105</v>
      </c>
      <c r="B21" s="4" t="s">
        <v>59</v>
      </c>
      <c r="C21" s="5">
        <v>45809</v>
      </c>
      <c r="D21" s="4" t="s">
        <v>92</v>
      </c>
      <c r="E21" s="6">
        <v>8556</v>
      </c>
      <c r="F21" s="7">
        <v>5189.2</v>
      </c>
      <c r="G21" s="8">
        <v>45</v>
      </c>
      <c r="H21" s="4" t="s">
        <v>93</v>
      </c>
      <c r="I21" s="4" t="s">
        <v>62</v>
      </c>
      <c r="J21" s="4" t="s">
        <v>106</v>
      </c>
      <c r="K21" s="4" t="s">
        <v>35</v>
      </c>
      <c r="L21" s="4" t="s">
        <v>64</v>
      </c>
      <c r="M21" s="4" t="s">
        <v>68</v>
      </c>
    </row>
    <row r="22" spans="1:13" ht="15" customHeight="1">
      <c r="A22" s="4" t="s">
        <v>107</v>
      </c>
      <c r="B22" s="4" t="s">
        <v>59</v>
      </c>
      <c r="C22" s="5">
        <v>45839</v>
      </c>
      <c r="D22" s="4" t="s">
        <v>92</v>
      </c>
      <c r="E22" s="6">
        <v>10189</v>
      </c>
      <c r="F22" s="7">
        <v>5888.46</v>
      </c>
      <c r="G22" s="8">
        <v>45</v>
      </c>
      <c r="H22" s="4" t="s">
        <v>93</v>
      </c>
      <c r="I22" s="4" t="s">
        <v>62</v>
      </c>
      <c r="J22" s="4" t="s">
        <v>108</v>
      </c>
      <c r="K22" s="4" t="s">
        <v>35</v>
      </c>
      <c r="L22" s="4" t="s">
        <v>64</v>
      </c>
      <c r="M22" s="4" t="s">
        <v>95</v>
      </c>
    </row>
    <row r="23" spans="1:13" ht="15" customHeight="1">
      <c r="A23" s="4" t="s">
        <v>109</v>
      </c>
      <c r="B23" s="4" t="s">
        <v>59</v>
      </c>
      <c r="C23" s="5">
        <v>45870</v>
      </c>
      <c r="D23" s="4" t="s">
        <v>92</v>
      </c>
      <c r="E23" s="6">
        <v>8603</v>
      </c>
      <c r="F23" s="7">
        <v>4835.6400000000003</v>
      </c>
      <c r="G23" s="8">
        <v>44</v>
      </c>
      <c r="H23" s="4" t="s">
        <v>93</v>
      </c>
      <c r="I23" s="4" t="s">
        <v>62</v>
      </c>
      <c r="J23" s="4" t="s">
        <v>110</v>
      </c>
      <c r="K23" s="4" t="s">
        <v>35</v>
      </c>
      <c r="L23" s="4" t="s">
        <v>64</v>
      </c>
      <c r="M23" s="4" t="s">
        <v>95</v>
      </c>
    </row>
    <row r="24" spans="1:13" ht="15" customHeight="1">
      <c r="A24" s="4" t="s">
        <v>111</v>
      </c>
      <c r="B24" s="4" t="s">
        <v>59</v>
      </c>
      <c r="C24" s="5">
        <v>45901</v>
      </c>
      <c r="D24" s="4" t="s">
        <v>92</v>
      </c>
      <c r="E24" s="6">
        <v>7247</v>
      </c>
      <c r="F24" s="7">
        <v>4105.3900000000003</v>
      </c>
      <c r="G24" s="8">
        <v>42</v>
      </c>
      <c r="H24" s="4" t="s">
        <v>93</v>
      </c>
      <c r="I24" s="4" t="s">
        <v>62</v>
      </c>
      <c r="J24" s="4" t="s">
        <v>112</v>
      </c>
      <c r="K24" s="4" t="s">
        <v>35</v>
      </c>
      <c r="L24" s="4" t="s">
        <v>64</v>
      </c>
      <c r="M24" s="4" t="s">
        <v>95</v>
      </c>
    </row>
    <row r="25" spans="1:13" ht="15" customHeight="1">
      <c r="A25" s="4" t="s">
        <v>113</v>
      </c>
      <c r="B25" s="4" t="s">
        <v>59</v>
      </c>
      <c r="C25" s="5">
        <v>45931</v>
      </c>
      <c r="D25" s="4" t="s">
        <v>92</v>
      </c>
      <c r="E25" s="6">
        <v>9672</v>
      </c>
      <c r="F25" s="7">
        <v>4951.09</v>
      </c>
      <c r="G25" s="8">
        <v>44</v>
      </c>
      <c r="H25" s="4" t="s">
        <v>93</v>
      </c>
      <c r="I25" s="4" t="s">
        <v>62</v>
      </c>
      <c r="J25" s="4" t="s">
        <v>114</v>
      </c>
      <c r="K25" s="4" t="s">
        <v>35</v>
      </c>
      <c r="L25" s="4" t="s">
        <v>64</v>
      </c>
      <c r="M25" s="4" t="s">
        <v>95</v>
      </c>
    </row>
    <row r="26" spans="1:13" ht="15" customHeight="1">
      <c r="A26" s="4" t="s">
        <v>115</v>
      </c>
      <c r="B26" s="4" t="s">
        <v>59</v>
      </c>
      <c r="C26" s="5">
        <v>45962</v>
      </c>
      <c r="D26" s="4" t="s">
        <v>92</v>
      </c>
      <c r="E26" s="6">
        <v>8888</v>
      </c>
      <c r="F26" s="7">
        <v>4308.4799999999996</v>
      </c>
      <c r="G26" s="8">
        <v>44</v>
      </c>
      <c r="H26" s="4" t="s">
        <v>93</v>
      </c>
      <c r="I26" s="4" t="s">
        <v>62</v>
      </c>
      <c r="J26" s="4" t="s">
        <v>116</v>
      </c>
      <c r="K26" s="4" t="s">
        <v>35</v>
      </c>
      <c r="L26" s="4" t="s">
        <v>64</v>
      </c>
      <c r="M26" s="4" t="s">
        <v>117</v>
      </c>
    </row>
    <row r="27" spans="1:13" ht="15" customHeight="1">
      <c r="A27" s="4" t="s">
        <v>118</v>
      </c>
      <c r="B27" s="4" t="s">
        <v>59</v>
      </c>
      <c r="C27" s="5">
        <v>45992</v>
      </c>
      <c r="D27" s="4" t="s">
        <v>92</v>
      </c>
      <c r="E27" s="6">
        <v>8456</v>
      </c>
      <c r="F27" s="7">
        <v>4342.4399999999996</v>
      </c>
      <c r="G27" s="8">
        <v>42</v>
      </c>
      <c r="H27" s="4" t="s">
        <v>93</v>
      </c>
      <c r="I27" s="4" t="s">
        <v>62</v>
      </c>
      <c r="J27" s="4" t="s">
        <v>119</v>
      </c>
      <c r="K27" s="4" t="s">
        <v>35</v>
      </c>
      <c r="L27" s="4" t="s">
        <v>64</v>
      </c>
      <c r="M27" s="4" t="s">
        <v>120</v>
      </c>
    </row>
    <row r="28" spans="1:13" ht="15" customHeight="1">
      <c r="A28" s="4" t="s">
        <v>121</v>
      </c>
      <c r="B28" s="4" t="s">
        <v>59</v>
      </c>
      <c r="C28" s="5">
        <v>45658</v>
      </c>
      <c r="D28" s="4" t="s">
        <v>122</v>
      </c>
      <c r="E28" s="6">
        <v>8256</v>
      </c>
      <c r="F28" s="7">
        <v>5006.66</v>
      </c>
      <c r="G28" s="8">
        <v>54</v>
      </c>
      <c r="H28" s="4" t="s">
        <v>93</v>
      </c>
      <c r="I28" s="4" t="s">
        <v>62</v>
      </c>
      <c r="J28" s="4" t="s">
        <v>123</v>
      </c>
      <c r="K28" s="4" t="s">
        <v>35</v>
      </c>
      <c r="L28" s="4" t="s">
        <v>64</v>
      </c>
      <c r="M28" s="4" t="s">
        <v>124</v>
      </c>
    </row>
    <row r="29" spans="1:13" ht="15" customHeight="1">
      <c r="A29" s="4" t="s">
        <v>125</v>
      </c>
      <c r="B29" s="4" t="s">
        <v>59</v>
      </c>
      <c r="C29" s="5">
        <v>45689</v>
      </c>
      <c r="D29" s="4" t="s">
        <v>122</v>
      </c>
      <c r="E29" s="6">
        <v>7370</v>
      </c>
      <c r="F29" s="7">
        <v>4526.6000000000004</v>
      </c>
      <c r="G29" s="8">
        <v>34</v>
      </c>
      <c r="H29" s="4" t="s">
        <v>93</v>
      </c>
      <c r="I29" s="4" t="s">
        <v>62</v>
      </c>
      <c r="J29" s="4" t="s">
        <v>126</v>
      </c>
      <c r="K29" s="4" t="s">
        <v>35</v>
      </c>
      <c r="L29" s="4" t="s">
        <v>64</v>
      </c>
      <c r="M29" s="4" t="s">
        <v>127</v>
      </c>
    </row>
    <row r="30" spans="1:13" ht="15" customHeight="1">
      <c r="A30" s="4" t="s">
        <v>128</v>
      </c>
      <c r="B30" s="4" t="s">
        <v>59</v>
      </c>
      <c r="C30" s="5">
        <v>45717</v>
      </c>
      <c r="D30" s="4" t="s">
        <v>122</v>
      </c>
      <c r="E30" s="6">
        <v>7402</v>
      </c>
      <c r="F30" s="7">
        <v>4546.33</v>
      </c>
      <c r="G30" s="8">
        <v>38</v>
      </c>
      <c r="H30" s="4" t="s">
        <v>93</v>
      </c>
      <c r="I30" s="4" t="s">
        <v>62</v>
      </c>
      <c r="J30" s="4" t="s">
        <v>129</v>
      </c>
      <c r="K30" s="4" t="s">
        <v>35</v>
      </c>
      <c r="L30" s="4" t="s">
        <v>64</v>
      </c>
      <c r="M30" s="4" t="s">
        <v>130</v>
      </c>
    </row>
    <row r="31" spans="1:13" ht="15" customHeight="1">
      <c r="A31" s="4" t="s">
        <v>131</v>
      </c>
      <c r="B31" s="4" t="s">
        <v>59</v>
      </c>
      <c r="C31" s="5">
        <v>45748</v>
      </c>
      <c r="D31" s="4" t="s">
        <v>122</v>
      </c>
      <c r="E31" s="6">
        <v>8924</v>
      </c>
      <c r="F31" s="7">
        <v>5413.13</v>
      </c>
      <c r="G31" s="8">
        <v>45</v>
      </c>
      <c r="H31" s="4" t="s">
        <v>93</v>
      </c>
      <c r="I31" s="4" t="s">
        <v>62</v>
      </c>
      <c r="J31" s="4" t="s">
        <v>132</v>
      </c>
      <c r="K31" s="4" t="s">
        <v>35</v>
      </c>
      <c r="L31" s="4" t="s">
        <v>64</v>
      </c>
      <c r="M31" s="4" t="s">
        <v>130</v>
      </c>
    </row>
    <row r="32" spans="1:13" ht="15" customHeight="1">
      <c r="A32" s="4" t="s">
        <v>133</v>
      </c>
      <c r="B32" s="4" t="s">
        <v>59</v>
      </c>
      <c r="C32" s="5">
        <v>45778</v>
      </c>
      <c r="D32" s="4" t="s">
        <v>122</v>
      </c>
      <c r="E32" s="6">
        <v>8808</v>
      </c>
      <c r="F32" s="7">
        <v>5271.95</v>
      </c>
      <c r="G32" s="8">
        <v>47</v>
      </c>
      <c r="H32" s="4" t="s">
        <v>93</v>
      </c>
      <c r="I32" s="4" t="s">
        <v>62</v>
      </c>
      <c r="J32" s="4" t="s">
        <v>134</v>
      </c>
      <c r="K32" s="4" t="s">
        <v>35</v>
      </c>
      <c r="L32" s="4" t="s">
        <v>64</v>
      </c>
      <c r="M32" s="4" t="s">
        <v>127</v>
      </c>
    </row>
    <row r="33" spans="1:13" ht="15" customHeight="1">
      <c r="A33" s="4" t="s">
        <v>135</v>
      </c>
      <c r="B33" s="4" t="s">
        <v>59</v>
      </c>
      <c r="C33" s="5">
        <v>45809</v>
      </c>
      <c r="D33" s="4" t="s">
        <v>122</v>
      </c>
      <c r="E33" s="6">
        <v>8556</v>
      </c>
      <c r="F33" s="7">
        <v>5189.2</v>
      </c>
      <c r="G33" s="8">
        <v>45</v>
      </c>
      <c r="H33" s="4" t="s">
        <v>93</v>
      </c>
      <c r="I33" s="4" t="s">
        <v>62</v>
      </c>
      <c r="J33" s="4" t="s">
        <v>136</v>
      </c>
      <c r="K33" s="4" t="s">
        <v>35</v>
      </c>
      <c r="L33" s="4" t="s">
        <v>64</v>
      </c>
      <c r="M33" s="4" t="s">
        <v>127</v>
      </c>
    </row>
    <row r="34" spans="1:13" ht="15" customHeight="1">
      <c r="A34" s="4" t="s">
        <v>137</v>
      </c>
      <c r="B34" s="4" t="s">
        <v>59</v>
      </c>
      <c r="C34" s="5">
        <v>45839</v>
      </c>
      <c r="D34" s="4" t="s">
        <v>122</v>
      </c>
      <c r="E34" s="6">
        <v>10189</v>
      </c>
      <c r="F34" s="7">
        <v>5888.46</v>
      </c>
      <c r="G34" s="8">
        <v>45</v>
      </c>
      <c r="H34" s="4" t="s">
        <v>93</v>
      </c>
      <c r="I34" s="4" t="s">
        <v>62</v>
      </c>
      <c r="J34" s="4" t="s">
        <v>138</v>
      </c>
      <c r="K34" s="4" t="s">
        <v>35</v>
      </c>
      <c r="L34" s="4" t="s">
        <v>64</v>
      </c>
      <c r="M34" s="4" t="s">
        <v>124</v>
      </c>
    </row>
    <row r="35" spans="1:13" ht="15" customHeight="1">
      <c r="A35" s="4" t="s">
        <v>139</v>
      </c>
      <c r="B35" s="4" t="s">
        <v>59</v>
      </c>
      <c r="C35" s="5">
        <v>45870</v>
      </c>
      <c r="D35" s="4" t="s">
        <v>122</v>
      </c>
      <c r="E35" s="6">
        <v>8603</v>
      </c>
      <c r="F35" s="7">
        <v>4835.6400000000003</v>
      </c>
      <c r="G35" s="8">
        <v>44</v>
      </c>
      <c r="H35" s="4" t="s">
        <v>93</v>
      </c>
      <c r="I35" s="4" t="s">
        <v>62</v>
      </c>
      <c r="J35" s="4" t="s">
        <v>140</v>
      </c>
      <c r="K35" s="4" t="s">
        <v>35</v>
      </c>
      <c r="L35" s="4" t="s">
        <v>64</v>
      </c>
      <c r="M35" s="4" t="s">
        <v>141</v>
      </c>
    </row>
    <row r="36" spans="1:13" ht="15" customHeight="1">
      <c r="A36" s="4" t="s">
        <v>142</v>
      </c>
      <c r="B36" s="4" t="s">
        <v>59</v>
      </c>
      <c r="C36" s="5">
        <v>45901</v>
      </c>
      <c r="D36" s="4" t="s">
        <v>122</v>
      </c>
      <c r="E36" s="6">
        <v>7247</v>
      </c>
      <c r="F36" s="7">
        <v>4105.3900000000003</v>
      </c>
      <c r="G36" s="8">
        <v>42</v>
      </c>
      <c r="H36" s="4" t="s">
        <v>93</v>
      </c>
      <c r="I36" s="4" t="s">
        <v>62</v>
      </c>
      <c r="J36" s="4" t="s">
        <v>143</v>
      </c>
      <c r="K36" s="4" t="s">
        <v>35</v>
      </c>
      <c r="L36" s="4" t="s">
        <v>64</v>
      </c>
      <c r="M36" s="4" t="s">
        <v>141</v>
      </c>
    </row>
    <row r="37" spans="1:13" ht="15" customHeight="1">
      <c r="A37" s="4" t="s">
        <v>144</v>
      </c>
      <c r="B37" s="4" t="s">
        <v>59</v>
      </c>
      <c r="C37" s="5">
        <v>45931</v>
      </c>
      <c r="D37" s="4" t="s">
        <v>122</v>
      </c>
      <c r="E37" s="6">
        <v>9672</v>
      </c>
      <c r="F37" s="7">
        <v>4951.09</v>
      </c>
      <c r="G37" s="8">
        <v>44</v>
      </c>
      <c r="H37" s="4" t="s">
        <v>93</v>
      </c>
      <c r="I37" s="4" t="s">
        <v>62</v>
      </c>
      <c r="J37" s="4" t="s">
        <v>145</v>
      </c>
      <c r="K37" s="4" t="s">
        <v>35</v>
      </c>
      <c r="L37" s="4" t="s">
        <v>64</v>
      </c>
      <c r="M37" s="4" t="s">
        <v>141</v>
      </c>
    </row>
    <row r="38" spans="1:13" ht="15" customHeight="1">
      <c r="A38" s="4" t="s">
        <v>146</v>
      </c>
      <c r="B38" s="4" t="s">
        <v>59</v>
      </c>
      <c r="C38" s="5">
        <v>45962</v>
      </c>
      <c r="D38" s="4" t="s">
        <v>122</v>
      </c>
      <c r="E38" s="6">
        <v>8888</v>
      </c>
      <c r="F38" s="7">
        <v>4308.4799999999996</v>
      </c>
      <c r="G38" s="8">
        <v>44</v>
      </c>
      <c r="H38" s="4" t="s">
        <v>93</v>
      </c>
      <c r="I38" s="4" t="s">
        <v>62</v>
      </c>
      <c r="J38" s="4" t="s">
        <v>147</v>
      </c>
      <c r="K38" s="4" t="s">
        <v>35</v>
      </c>
      <c r="L38" s="4" t="s">
        <v>64</v>
      </c>
      <c r="M38" s="4" t="s">
        <v>148</v>
      </c>
    </row>
    <row r="39" spans="1:13" ht="15" customHeight="1">
      <c r="A39" s="4" t="s">
        <v>149</v>
      </c>
      <c r="B39" s="4" t="s">
        <v>59</v>
      </c>
      <c r="C39" s="5">
        <v>45992</v>
      </c>
      <c r="D39" s="4" t="s">
        <v>122</v>
      </c>
      <c r="E39" s="6">
        <v>8456</v>
      </c>
      <c r="F39" s="7">
        <v>4342.4399999999996</v>
      </c>
      <c r="G39" s="8">
        <v>42</v>
      </c>
      <c r="H39" s="4" t="s">
        <v>93</v>
      </c>
      <c r="I39" s="4" t="s">
        <v>62</v>
      </c>
      <c r="J39" s="4" t="s">
        <v>150</v>
      </c>
      <c r="K39" s="4" t="s">
        <v>35</v>
      </c>
      <c r="L39" s="4" t="s">
        <v>64</v>
      </c>
      <c r="M39" s="4" t="s">
        <v>151</v>
      </c>
    </row>
    <row r="40" spans="1:13" ht="15" customHeight="1">
      <c r="A40" s="4" t="s">
        <v>152</v>
      </c>
      <c r="B40" s="4" t="s">
        <v>59</v>
      </c>
      <c r="C40" s="5">
        <v>45658</v>
      </c>
      <c r="D40" s="4" t="s">
        <v>153</v>
      </c>
      <c r="E40" s="6">
        <v>6503</v>
      </c>
      <c r="F40" s="7">
        <v>3575.59</v>
      </c>
      <c r="G40" s="8">
        <v>33</v>
      </c>
      <c r="H40" s="4" t="s">
        <v>154</v>
      </c>
      <c r="I40" s="4" t="s">
        <v>62</v>
      </c>
      <c r="J40" s="4" t="s">
        <v>155</v>
      </c>
      <c r="K40" s="4" t="s">
        <v>35</v>
      </c>
      <c r="L40" s="4" t="s">
        <v>64</v>
      </c>
      <c r="M40" s="4" t="s">
        <v>141</v>
      </c>
    </row>
    <row r="41" spans="1:13" ht="15" customHeight="1">
      <c r="A41" s="4" t="s">
        <v>156</v>
      </c>
      <c r="B41" s="4" t="s">
        <v>59</v>
      </c>
      <c r="C41" s="5">
        <v>45689</v>
      </c>
      <c r="D41" s="4" t="s">
        <v>153</v>
      </c>
      <c r="E41" s="6">
        <v>6892</v>
      </c>
      <c r="F41" s="7">
        <v>3735.2</v>
      </c>
      <c r="G41" s="8">
        <v>33</v>
      </c>
      <c r="H41" s="4" t="s">
        <v>154</v>
      </c>
      <c r="I41" s="4" t="s">
        <v>62</v>
      </c>
      <c r="J41" s="4" t="s">
        <v>157</v>
      </c>
      <c r="K41" s="4" t="s">
        <v>35</v>
      </c>
      <c r="L41" s="4" t="s">
        <v>64</v>
      </c>
      <c r="M41" s="4" t="s">
        <v>127</v>
      </c>
    </row>
    <row r="42" spans="1:13" ht="15" customHeight="1">
      <c r="A42" s="4" t="s">
        <v>158</v>
      </c>
      <c r="B42" s="4" t="s">
        <v>59</v>
      </c>
      <c r="C42" s="5">
        <v>45717</v>
      </c>
      <c r="D42" s="4" t="s">
        <v>153</v>
      </c>
      <c r="E42" s="6">
        <v>6307</v>
      </c>
      <c r="F42" s="7">
        <v>3416.88</v>
      </c>
      <c r="G42" s="8">
        <v>35</v>
      </c>
      <c r="H42" s="4" t="s">
        <v>154</v>
      </c>
      <c r="I42" s="4" t="s">
        <v>62</v>
      </c>
      <c r="J42" s="4" t="s">
        <v>159</v>
      </c>
      <c r="K42" s="4" t="s">
        <v>35</v>
      </c>
      <c r="L42" s="4" t="s">
        <v>64</v>
      </c>
      <c r="M42" s="4" t="s">
        <v>130</v>
      </c>
    </row>
    <row r="43" spans="1:13" ht="15" customHeight="1">
      <c r="A43" s="4" t="s">
        <v>160</v>
      </c>
      <c r="B43" s="4" t="s">
        <v>59</v>
      </c>
      <c r="C43" s="5">
        <v>45748</v>
      </c>
      <c r="D43" s="4" t="s">
        <v>153</v>
      </c>
      <c r="E43" s="6">
        <v>7761</v>
      </c>
      <c r="F43" s="7">
        <v>4208.07</v>
      </c>
      <c r="G43" s="8">
        <v>35</v>
      </c>
      <c r="H43" s="4" t="s">
        <v>154</v>
      </c>
      <c r="I43" s="4" t="s">
        <v>62</v>
      </c>
      <c r="J43" s="4" t="s">
        <v>161</v>
      </c>
      <c r="K43" s="4" t="s">
        <v>35</v>
      </c>
      <c r="L43" s="4" t="s">
        <v>64</v>
      </c>
      <c r="M43" s="4" t="s">
        <v>162</v>
      </c>
    </row>
    <row r="44" spans="1:13" ht="15" customHeight="1">
      <c r="A44" s="4" t="s">
        <v>163</v>
      </c>
      <c r="B44" s="4" t="s">
        <v>59</v>
      </c>
      <c r="C44" s="5">
        <v>45778</v>
      </c>
      <c r="D44" s="4" t="s">
        <v>153</v>
      </c>
      <c r="E44" s="6">
        <v>6722</v>
      </c>
      <c r="F44" s="7">
        <v>3642.7</v>
      </c>
      <c r="G44" s="8">
        <v>34</v>
      </c>
      <c r="H44" s="4" t="s">
        <v>154</v>
      </c>
      <c r="I44" s="4" t="s">
        <v>62</v>
      </c>
      <c r="J44" s="4" t="s">
        <v>164</v>
      </c>
      <c r="K44" s="4" t="s">
        <v>35</v>
      </c>
      <c r="L44" s="4" t="s">
        <v>64</v>
      </c>
      <c r="M44" s="4" t="s">
        <v>127</v>
      </c>
    </row>
    <row r="45" spans="1:13" ht="15" customHeight="1">
      <c r="A45" s="4" t="s">
        <v>165</v>
      </c>
      <c r="B45" s="4" t="s">
        <v>59</v>
      </c>
      <c r="C45" s="5">
        <v>45809</v>
      </c>
      <c r="D45" s="4" t="s">
        <v>153</v>
      </c>
      <c r="E45" s="6">
        <v>6623</v>
      </c>
      <c r="F45" s="7">
        <v>3588.83</v>
      </c>
      <c r="G45" s="8">
        <v>33</v>
      </c>
      <c r="H45" s="4" t="s">
        <v>154</v>
      </c>
      <c r="I45" s="4" t="s">
        <v>62</v>
      </c>
      <c r="J45" s="4" t="s">
        <v>166</v>
      </c>
      <c r="K45" s="4" t="s">
        <v>35</v>
      </c>
      <c r="L45" s="4" t="s">
        <v>64</v>
      </c>
      <c r="M45" s="4" t="s">
        <v>130</v>
      </c>
    </row>
    <row r="46" spans="1:13" ht="15" customHeight="1">
      <c r="A46" s="4" t="s">
        <v>167</v>
      </c>
      <c r="B46" s="4" t="s">
        <v>59</v>
      </c>
      <c r="C46" s="5">
        <v>45839</v>
      </c>
      <c r="D46" s="4" t="s">
        <v>153</v>
      </c>
      <c r="E46" s="6">
        <v>8009</v>
      </c>
      <c r="F46" s="7">
        <v>4143.8900000000003</v>
      </c>
      <c r="G46" s="8">
        <v>35</v>
      </c>
      <c r="H46" s="4" t="s">
        <v>154</v>
      </c>
      <c r="I46" s="4" t="s">
        <v>62</v>
      </c>
      <c r="J46" s="4" t="s">
        <v>168</v>
      </c>
      <c r="K46" s="4" t="s">
        <v>35</v>
      </c>
      <c r="L46" s="4" t="s">
        <v>64</v>
      </c>
      <c r="M46" s="4" t="s">
        <v>141</v>
      </c>
    </row>
    <row r="47" spans="1:13" ht="15" customHeight="1">
      <c r="A47" s="4" t="s">
        <v>169</v>
      </c>
      <c r="B47" s="4" t="s">
        <v>59</v>
      </c>
      <c r="C47" s="5">
        <v>45870</v>
      </c>
      <c r="D47" s="4" t="s">
        <v>153</v>
      </c>
      <c r="E47" s="6">
        <v>6924</v>
      </c>
      <c r="F47" s="7">
        <v>3484.84</v>
      </c>
      <c r="G47" s="8">
        <v>34</v>
      </c>
      <c r="H47" s="4" t="s">
        <v>154</v>
      </c>
      <c r="I47" s="4" t="s">
        <v>62</v>
      </c>
      <c r="J47" s="4" t="s">
        <v>170</v>
      </c>
      <c r="K47" s="4" t="s">
        <v>35</v>
      </c>
      <c r="L47" s="4" t="s">
        <v>64</v>
      </c>
      <c r="M47" s="4" t="s">
        <v>141</v>
      </c>
    </row>
    <row r="48" spans="1:13" ht="15" customHeight="1">
      <c r="A48" s="4" t="s">
        <v>171</v>
      </c>
      <c r="B48" s="4" t="s">
        <v>59</v>
      </c>
      <c r="C48" s="5">
        <v>45901</v>
      </c>
      <c r="D48" s="4" t="s">
        <v>153</v>
      </c>
      <c r="E48" s="6">
        <v>5989</v>
      </c>
      <c r="F48" s="7">
        <v>3037.91</v>
      </c>
      <c r="G48" s="8">
        <v>34</v>
      </c>
      <c r="H48" s="4" t="s">
        <v>154</v>
      </c>
      <c r="I48" s="4" t="s">
        <v>62</v>
      </c>
      <c r="J48" s="4" t="s">
        <v>172</v>
      </c>
      <c r="K48" s="4" t="s">
        <v>35</v>
      </c>
      <c r="L48" s="4" t="s">
        <v>64</v>
      </c>
      <c r="M48" s="4" t="s">
        <v>124</v>
      </c>
    </row>
    <row r="49" spans="1:13" ht="15" customHeight="1">
      <c r="A49" s="4" t="s">
        <v>173</v>
      </c>
      <c r="B49" s="4" t="s">
        <v>59</v>
      </c>
      <c r="C49" s="5">
        <v>45931</v>
      </c>
      <c r="D49" s="4" t="s">
        <v>153</v>
      </c>
      <c r="E49" s="6">
        <v>7313</v>
      </c>
      <c r="F49" s="7">
        <v>3310.18</v>
      </c>
      <c r="G49" s="8">
        <v>35</v>
      </c>
      <c r="H49" s="4" t="s">
        <v>154</v>
      </c>
      <c r="I49" s="4" t="s">
        <v>62</v>
      </c>
      <c r="J49" s="4" t="s">
        <v>174</v>
      </c>
      <c r="K49" s="4" t="s">
        <v>35</v>
      </c>
      <c r="L49" s="4" t="s">
        <v>64</v>
      </c>
      <c r="M49" s="4" t="s">
        <v>130</v>
      </c>
    </row>
    <row r="50" spans="1:13" ht="15" customHeight="1">
      <c r="A50" s="4" t="s">
        <v>175</v>
      </c>
      <c r="B50" s="4" t="s">
        <v>59</v>
      </c>
      <c r="C50" s="5">
        <v>45962</v>
      </c>
      <c r="D50" s="4" t="s">
        <v>153</v>
      </c>
      <c r="E50" s="6">
        <v>6584</v>
      </c>
      <c r="F50" s="7">
        <v>2865.09</v>
      </c>
      <c r="G50" s="8">
        <v>33</v>
      </c>
      <c r="H50" s="4" t="s">
        <v>154</v>
      </c>
      <c r="I50" s="4" t="s">
        <v>62</v>
      </c>
      <c r="J50" s="4" t="s">
        <v>176</v>
      </c>
      <c r="K50" s="4" t="s">
        <v>35</v>
      </c>
      <c r="L50" s="4" t="s">
        <v>64</v>
      </c>
      <c r="M50" s="4" t="s">
        <v>177</v>
      </c>
    </row>
    <row r="51" spans="1:13" ht="15" customHeight="1">
      <c r="A51" s="4" t="s">
        <v>178</v>
      </c>
      <c r="B51" s="4" t="s">
        <v>59</v>
      </c>
      <c r="C51" s="5">
        <v>45992</v>
      </c>
      <c r="D51" s="4" t="s">
        <v>153</v>
      </c>
      <c r="E51" s="6">
        <v>6607</v>
      </c>
      <c r="F51" s="7">
        <v>3044.19</v>
      </c>
      <c r="G51" s="8">
        <v>33</v>
      </c>
      <c r="H51" s="4" t="s">
        <v>154</v>
      </c>
      <c r="I51" s="4" t="s">
        <v>62</v>
      </c>
      <c r="J51" s="4" t="s">
        <v>179</v>
      </c>
      <c r="K51" s="4" t="s">
        <v>35</v>
      </c>
      <c r="L51" s="4" t="s">
        <v>64</v>
      </c>
      <c r="M51" s="4" t="s">
        <v>180</v>
      </c>
    </row>
    <row r="52" spans="1:13" ht="15" customHeight="1">
      <c r="A52" s="4" t="s">
        <v>181</v>
      </c>
      <c r="B52" s="4" t="s">
        <v>59</v>
      </c>
      <c r="C52" s="5">
        <v>45658</v>
      </c>
      <c r="D52" s="4" t="s">
        <v>182</v>
      </c>
      <c r="E52" s="6">
        <v>8435</v>
      </c>
      <c r="F52" s="7">
        <v>4642.43</v>
      </c>
      <c r="G52" s="8">
        <v>47</v>
      </c>
      <c r="H52" s="4" t="s">
        <v>183</v>
      </c>
      <c r="I52" s="4" t="s">
        <v>62</v>
      </c>
      <c r="J52" s="4" t="s">
        <v>184</v>
      </c>
      <c r="K52" s="4" t="s">
        <v>35</v>
      </c>
      <c r="L52" s="4" t="s">
        <v>64</v>
      </c>
      <c r="M52" s="4" t="s">
        <v>130</v>
      </c>
    </row>
    <row r="53" spans="1:13" ht="15" customHeight="1">
      <c r="A53" s="4" t="s">
        <v>185</v>
      </c>
      <c r="B53" s="4" t="s">
        <v>59</v>
      </c>
      <c r="C53" s="5">
        <v>45689</v>
      </c>
      <c r="D53" s="4" t="s">
        <v>182</v>
      </c>
      <c r="E53" s="6">
        <v>8326</v>
      </c>
      <c r="F53" s="7">
        <v>4582.22</v>
      </c>
      <c r="G53" s="8">
        <v>36</v>
      </c>
      <c r="H53" s="4" t="s">
        <v>183</v>
      </c>
      <c r="I53" s="4" t="s">
        <v>62</v>
      </c>
      <c r="J53" s="4" t="s">
        <v>186</v>
      </c>
      <c r="K53" s="4" t="s">
        <v>35</v>
      </c>
      <c r="L53" s="4" t="s">
        <v>64</v>
      </c>
      <c r="M53" s="4" t="s">
        <v>162</v>
      </c>
    </row>
    <row r="54" spans="1:13" ht="15" customHeight="1">
      <c r="A54" s="4" t="s">
        <v>187</v>
      </c>
      <c r="B54" s="4" t="s">
        <v>59</v>
      </c>
      <c r="C54" s="5">
        <v>45717</v>
      </c>
      <c r="D54" s="4" t="s">
        <v>182</v>
      </c>
      <c r="E54" s="6">
        <v>8773</v>
      </c>
      <c r="F54" s="7">
        <v>4829.05</v>
      </c>
      <c r="G54" s="8">
        <v>39</v>
      </c>
      <c r="H54" s="4" t="s">
        <v>183</v>
      </c>
      <c r="I54" s="4" t="s">
        <v>62</v>
      </c>
      <c r="J54" s="4" t="s">
        <v>188</v>
      </c>
      <c r="K54" s="4" t="s">
        <v>35</v>
      </c>
      <c r="L54" s="4" t="s">
        <v>64</v>
      </c>
      <c r="M54" s="4" t="s">
        <v>127</v>
      </c>
    </row>
    <row r="55" spans="1:13" ht="15" customHeight="1">
      <c r="A55" s="4" t="s">
        <v>189</v>
      </c>
      <c r="B55" s="4" t="s">
        <v>59</v>
      </c>
      <c r="C55" s="5">
        <v>45748</v>
      </c>
      <c r="D55" s="4" t="s">
        <v>182</v>
      </c>
      <c r="E55" s="6">
        <v>9479</v>
      </c>
      <c r="F55" s="7">
        <v>5294.88</v>
      </c>
      <c r="G55" s="8">
        <v>48</v>
      </c>
      <c r="H55" s="4" t="s">
        <v>183</v>
      </c>
      <c r="I55" s="4" t="s">
        <v>62</v>
      </c>
      <c r="J55" s="4" t="s">
        <v>190</v>
      </c>
      <c r="K55" s="4" t="s">
        <v>35</v>
      </c>
      <c r="L55" s="4" t="s">
        <v>64</v>
      </c>
      <c r="M55" s="4" t="s">
        <v>130</v>
      </c>
    </row>
    <row r="56" spans="1:13" ht="15" customHeight="1">
      <c r="A56" s="4" t="s">
        <v>191</v>
      </c>
      <c r="B56" s="4" t="s">
        <v>59</v>
      </c>
      <c r="C56" s="5">
        <v>45778</v>
      </c>
      <c r="D56" s="4" t="s">
        <v>182</v>
      </c>
      <c r="E56" s="6">
        <v>9294</v>
      </c>
      <c r="F56" s="7">
        <v>5191.24</v>
      </c>
      <c r="G56" s="8">
        <v>50</v>
      </c>
      <c r="H56" s="4" t="s">
        <v>183</v>
      </c>
      <c r="I56" s="4" t="s">
        <v>62</v>
      </c>
      <c r="J56" s="4" t="s">
        <v>192</v>
      </c>
      <c r="K56" s="4" t="s">
        <v>35</v>
      </c>
      <c r="L56" s="4" t="s">
        <v>64</v>
      </c>
      <c r="M56" s="4" t="s">
        <v>141</v>
      </c>
    </row>
    <row r="57" spans="1:13" ht="15" customHeight="1">
      <c r="A57" s="4" t="s">
        <v>193</v>
      </c>
      <c r="B57" s="4" t="s">
        <v>59</v>
      </c>
      <c r="C57" s="5">
        <v>45809</v>
      </c>
      <c r="D57" s="4" t="s">
        <v>182</v>
      </c>
      <c r="E57" s="6">
        <v>8800</v>
      </c>
      <c r="F57" s="7">
        <v>4843.96</v>
      </c>
      <c r="G57" s="8">
        <v>48</v>
      </c>
      <c r="H57" s="4" t="s">
        <v>183</v>
      </c>
      <c r="I57" s="4" t="s">
        <v>62</v>
      </c>
      <c r="J57" s="4" t="s">
        <v>194</v>
      </c>
      <c r="K57" s="4" t="s">
        <v>35</v>
      </c>
      <c r="L57" s="4" t="s">
        <v>64</v>
      </c>
      <c r="M57" s="4" t="s">
        <v>124</v>
      </c>
    </row>
    <row r="58" spans="1:13" ht="15" customHeight="1">
      <c r="A58" s="4" t="s">
        <v>195</v>
      </c>
      <c r="B58" s="4" t="s">
        <v>59</v>
      </c>
      <c r="C58" s="5">
        <v>45839</v>
      </c>
      <c r="D58" s="4" t="s">
        <v>182</v>
      </c>
      <c r="E58" s="6">
        <v>11135</v>
      </c>
      <c r="F58" s="7">
        <v>5923.41</v>
      </c>
      <c r="G58" s="8">
        <v>51</v>
      </c>
      <c r="H58" s="4" t="s">
        <v>183</v>
      </c>
      <c r="I58" s="4" t="s">
        <v>62</v>
      </c>
      <c r="J58" s="4" t="s">
        <v>196</v>
      </c>
      <c r="K58" s="4" t="s">
        <v>35</v>
      </c>
      <c r="L58" s="4" t="s">
        <v>64</v>
      </c>
      <c r="M58" s="4" t="s">
        <v>124</v>
      </c>
    </row>
    <row r="59" spans="1:13" ht="15" customHeight="1">
      <c r="A59" s="4" t="s">
        <v>197</v>
      </c>
      <c r="B59" s="4" t="s">
        <v>59</v>
      </c>
      <c r="C59" s="5">
        <v>45870</v>
      </c>
      <c r="D59" s="4" t="s">
        <v>182</v>
      </c>
      <c r="E59" s="6">
        <v>10300</v>
      </c>
      <c r="F59" s="7">
        <v>5326.93</v>
      </c>
      <c r="G59" s="8">
        <v>48</v>
      </c>
      <c r="H59" s="4" t="s">
        <v>183</v>
      </c>
      <c r="I59" s="4" t="s">
        <v>62</v>
      </c>
      <c r="J59" s="4" t="s">
        <v>198</v>
      </c>
      <c r="K59" s="4" t="s">
        <v>35</v>
      </c>
      <c r="L59" s="4" t="s">
        <v>64</v>
      </c>
      <c r="M59" s="4" t="s">
        <v>130</v>
      </c>
    </row>
    <row r="60" spans="1:13" ht="15" customHeight="1">
      <c r="A60" s="4" t="s">
        <v>199</v>
      </c>
      <c r="B60" s="4" t="s">
        <v>59</v>
      </c>
      <c r="C60" s="5">
        <v>45901</v>
      </c>
      <c r="D60" s="4" t="s">
        <v>182</v>
      </c>
      <c r="E60" s="6">
        <v>9080</v>
      </c>
      <c r="F60" s="7">
        <v>4731.1499999999996</v>
      </c>
      <c r="G60" s="8">
        <v>54</v>
      </c>
      <c r="H60" s="4" t="s">
        <v>183</v>
      </c>
      <c r="I60" s="4" t="s">
        <v>62</v>
      </c>
      <c r="J60" s="4" t="s">
        <v>200</v>
      </c>
      <c r="K60" s="4" t="s">
        <v>35</v>
      </c>
      <c r="L60" s="4" t="s">
        <v>64</v>
      </c>
      <c r="M60" s="4" t="s">
        <v>127</v>
      </c>
    </row>
    <row r="61" spans="1:13" ht="15" customHeight="1">
      <c r="A61" s="4" t="s">
        <v>201</v>
      </c>
      <c r="B61" s="4" t="s">
        <v>59</v>
      </c>
      <c r="C61" s="5">
        <v>45931</v>
      </c>
      <c r="D61" s="4" t="s">
        <v>182</v>
      </c>
      <c r="E61" s="6">
        <v>9547</v>
      </c>
      <c r="F61" s="7">
        <v>4442.41</v>
      </c>
      <c r="G61" s="8">
        <v>48</v>
      </c>
      <c r="H61" s="4" t="s">
        <v>183</v>
      </c>
      <c r="I61" s="4" t="s">
        <v>62</v>
      </c>
      <c r="J61" s="4" t="s">
        <v>202</v>
      </c>
      <c r="K61" s="4" t="s">
        <v>35</v>
      </c>
      <c r="L61" s="4" t="s">
        <v>64</v>
      </c>
      <c r="M61" s="4" t="s">
        <v>124</v>
      </c>
    </row>
    <row r="62" spans="1:13" ht="15" customHeight="1">
      <c r="A62" s="4" t="s">
        <v>203</v>
      </c>
      <c r="B62" s="4" t="s">
        <v>59</v>
      </c>
      <c r="C62" s="5">
        <v>45962</v>
      </c>
      <c r="D62" s="4" t="s">
        <v>182</v>
      </c>
      <c r="E62" s="6">
        <v>8786</v>
      </c>
      <c r="F62" s="7">
        <v>3927.21</v>
      </c>
      <c r="G62" s="8">
        <v>46</v>
      </c>
      <c r="H62" s="4" t="s">
        <v>183</v>
      </c>
      <c r="I62" s="4" t="s">
        <v>62</v>
      </c>
      <c r="J62" s="4" t="s">
        <v>204</v>
      </c>
      <c r="K62" s="4" t="s">
        <v>35</v>
      </c>
      <c r="L62" s="4" t="s">
        <v>64</v>
      </c>
      <c r="M62" s="4" t="s">
        <v>205</v>
      </c>
    </row>
    <row r="63" spans="1:13" ht="15" customHeight="1">
      <c r="A63" s="4" t="s">
        <v>206</v>
      </c>
      <c r="B63" s="4" t="s">
        <v>59</v>
      </c>
      <c r="C63" s="5">
        <v>45992</v>
      </c>
      <c r="D63" s="4" t="s">
        <v>182</v>
      </c>
      <c r="E63" s="6">
        <v>8911</v>
      </c>
      <c r="F63" s="7">
        <v>4158.13</v>
      </c>
      <c r="G63" s="8">
        <v>46</v>
      </c>
      <c r="H63" s="4" t="s">
        <v>183</v>
      </c>
      <c r="I63" s="4" t="s">
        <v>62</v>
      </c>
      <c r="J63" s="4" t="s">
        <v>207</v>
      </c>
      <c r="K63" s="4" t="s">
        <v>35</v>
      </c>
      <c r="L63" s="4" t="s">
        <v>64</v>
      </c>
      <c r="M63" s="4" t="s">
        <v>208</v>
      </c>
    </row>
    <row r="64" spans="1:13" ht="15" customHeight="1">
      <c r="A64" s="4" t="s">
        <v>209</v>
      </c>
      <c r="B64" s="4" t="s">
        <v>59</v>
      </c>
      <c r="C64" s="5">
        <v>45658</v>
      </c>
      <c r="D64" s="4" t="s">
        <v>210</v>
      </c>
      <c r="E64" s="6">
        <v>3849</v>
      </c>
      <c r="F64" s="7">
        <v>2294.44</v>
      </c>
      <c r="G64" s="8">
        <v>27</v>
      </c>
      <c r="H64" s="4" t="s">
        <v>211</v>
      </c>
      <c r="I64" s="4" t="s">
        <v>62</v>
      </c>
      <c r="J64" s="4" t="s">
        <v>212</v>
      </c>
      <c r="K64" s="4" t="s">
        <v>35</v>
      </c>
      <c r="L64" s="4" t="s">
        <v>64</v>
      </c>
      <c r="M64" s="4" t="s">
        <v>141</v>
      </c>
    </row>
    <row r="65" spans="1:13" ht="15" customHeight="1">
      <c r="A65" s="4" t="s">
        <v>213</v>
      </c>
      <c r="B65" s="4" t="s">
        <v>59</v>
      </c>
      <c r="C65" s="5">
        <v>45689</v>
      </c>
      <c r="D65" s="4" t="s">
        <v>210</v>
      </c>
      <c r="E65" s="6">
        <v>3892</v>
      </c>
      <c r="F65" s="7">
        <v>2289.19</v>
      </c>
      <c r="G65" s="8">
        <v>29</v>
      </c>
      <c r="H65" s="4" t="s">
        <v>211</v>
      </c>
      <c r="I65" s="4" t="s">
        <v>62</v>
      </c>
      <c r="J65" s="4" t="s">
        <v>214</v>
      </c>
      <c r="K65" s="4" t="s">
        <v>35</v>
      </c>
      <c r="L65" s="4" t="s">
        <v>64</v>
      </c>
      <c r="M65" s="4" t="s">
        <v>141</v>
      </c>
    </row>
    <row r="66" spans="1:13" ht="15" customHeight="1">
      <c r="A66" s="4" t="s">
        <v>215</v>
      </c>
      <c r="B66" s="4" t="s">
        <v>59</v>
      </c>
      <c r="C66" s="5">
        <v>45717</v>
      </c>
      <c r="D66" s="4" t="s">
        <v>210</v>
      </c>
      <c r="E66" s="6">
        <v>3403</v>
      </c>
      <c r="F66" s="7">
        <v>1999.52</v>
      </c>
      <c r="G66" s="8">
        <v>36</v>
      </c>
      <c r="H66" s="4" t="s">
        <v>211</v>
      </c>
      <c r="I66" s="4" t="s">
        <v>62</v>
      </c>
      <c r="J66" s="4" t="s">
        <v>216</v>
      </c>
      <c r="K66" s="4" t="s">
        <v>35</v>
      </c>
      <c r="L66" s="4" t="s">
        <v>64</v>
      </c>
      <c r="M66" s="4" t="s">
        <v>162</v>
      </c>
    </row>
    <row r="67" spans="1:13" ht="15" customHeight="1">
      <c r="A67" s="4" t="s">
        <v>217</v>
      </c>
      <c r="B67" s="4" t="s">
        <v>59</v>
      </c>
      <c r="C67" s="5">
        <v>45748</v>
      </c>
      <c r="D67" s="4" t="s">
        <v>210</v>
      </c>
      <c r="E67" s="6">
        <v>4415</v>
      </c>
      <c r="F67" s="7">
        <v>2599.02</v>
      </c>
      <c r="G67" s="8">
        <v>43</v>
      </c>
      <c r="H67" s="4" t="s">
        <v>211</v>
      </c>
      <c r="I67" s="4" t="s">
        <v>62</v>
      </c>
      <c r="J67" s="4" t="s">
        <v>218</v>
      </c>
      <c r="K67" s="4" t="s">
        <v>35</v>
      </c>
      <c r="L67" s="4" t="s">
        <v>64</v>
      </c>
      <c r="M67" s="4" t="s">
        <v>162</v>
      </c>
    </row>
    <row r="68" spans="1:13" ht="15" customHeight="1">
      <c r="A68" s="4" t="s">
        <v>219</v>
      </c>
      <c r="B68" s="4" t="s">
        <v>59</v>
      </c>
      <c r="C68" s="5">
        <v>45778</v>
      </c>
      <c r="D68" s="4" t="s">
        <v>210</v>
      </c>
      <c r="E68" s="6">
        <v>3807</v>
      </c>
      <c r="F68" s="7">
        <v>2208.4499999999998</v>
      </c>
      <c r="G68" s="8">
        <v>40</v>
      </c>
      <c r="H68" s="4" t="s">
        <v>211</v>
      </c>
      <c r="I68" s="4" t="s">
        <v>62</v>
      </c>
      <c r="J68" s="4" t="s">
        <v>220</v>
      </c>
      <c r="K68" s="4" t="s">
        <v>35</v>
      </c>
      <c r="L68" s="4" t="s">
        <v>64</v>
      </c>
      <c r="M68" s="4" t="s">
        <v>127</v>
      </c>
    </row>
    <row r="69" spans="1:13" ht="15" customHeight="1">
      <c r="A69" s="4" t="s">
        <v>221</v>
      </c>
      <c r="B69" s="4" t="s">
        <v>59</v>
      </c>
      <c r="C69" s="5">
        <v>45809</v>
      </c>
      <c r="D69" s="4" t="s">
        <v>210</v>
      </c>
      <c r="E69" s="6">
        <v>4100</v>
      </c>
      <c r="F69" s="7">
        <v>2412.4</v>
      </c>
      <c r="G69" s="8">
        <v>39</v>
      </c>
      <c r="H69" s="4" t="s">
        <v>211</v>
      </c>
      <c r="I69" s="4" t="s">
        <v>62</v>
      </c>
      <c r="J69" s="4" t="s">
        <v>222</v>
      </c>
      <c r="K69" s="4" t="s">
        <v>35</v>
      </c>
      <c r="L69" s="4" t="s">
        <v>64</v>
      </c>
      <c r="M69" s="4" t="s">
        <v>127</v>
      </c>
    </row>
    <row r="70" spans="1:13" ht="15" customHeight="1">
      <c r="A70" s="4" t="s">
        <v>223</v>
      </c>
      <c r="B70" s="4" t="s">
        <v>59</v>
      </c>
      <c r="C70" s="5">
        <v>45839</v>
      </c>
      <c r="D70" s="4" t="s">
        <v>210</v>
      </c>
      <c r="E70" s="6">
        <v>4683</v>
      </c>
      <c r="F70" s="7">
        <v>2646.71</v>
      </c>
      <c r="G70" s="8">
        <v>47</v>
      </c>
      <c r="H70" s="4" t="s">
        <v>211</v>
      </c>
      <c r="I70" s="4" t="s">
        <v>62</v>
      </c>
      <c r="J70" s="4" t="s">
        <v>224</v>
      </c>
      <c r="K70" s="4" t="s">
        <v>35</v>
      </c>
      <c r="L70" s="4" t="s">
        <v>64</v>
      </c>
      <c r="M70" s="4" t="s">
        <v>124</v>
      </c>
    </row>
    <row r="71" spans="1:13" ht="15" customHeight="1">
      <c r="A71" s="4" t="s">
        <v>225</v>
      </c>
      <c r="B71" s="4" t="s">
        <v>59</v>
      </c>
      <c r="C71" s="5">
        <v>45870</v>
      </c>
      <c r="D71" s="4" t="s">
        <v>210</v>
      </c>
      <c r="E71" s="6">
        <v>4225</v>
      </c>
      <c r="F71" s="7">
        <v>2323.2399999999998</v>
      </c>
      <c r="G71" s="8">
        <v>37</v>
      </c>
      <c r="H71" s="4" t="s">
        <v>211</v>
      </c>
      <c r="I71" s="4" t="s">
        <v>62</v>
      </c>
      <c r="J71" s="4" t="s">
        <v>226</v>
      </c>
      <c r="K71" s="4" t="s">
        <v>35</v>
      </c>
      <c r="L71" s="4" t="s">
        <v>64</v>
      </c>
      <c r="M71" s="4" t="s">
        <v>141</v>
      </c>
    </row>
    <row r="72" spans="1:13" ht="15" customHeight="1">
      <c r="A72" s="4" t="s">
        <v>227</v>
      </c>
      <c r="B72" s="4" t="s">
        <v>59</v>
      </c>
      <c r="C72" s="5">
        <v>45901</v>
      </c>
      <c r="D72" s="4" t="s">
        <v>210</v>
      </c>
      <c r="E72" s="6">
        <v>3811</v>
      </c>
      <c r="F72" s="7">
        <v>2112.2399999999998</v>
      </c>
      <c r="G72" s="8">
        <v>47</v>
      </c>
      <c r="H72" s="4" t="s">
        <v>211</v>
      </c>
      <c r="I72" s="4" t="s">
        <v>62</v>
      </c>
      <c r="J72" s="4" t="s">
        <v>228</v>
      </c>
      <c r="K72" s="4" t="s">
        <v>35</v>
      </c>
      <c r="L72" s="4" t="s">
        <v>64</v>
      </c>
      <c r="M72" s="4" t="s">
        <v>141</v>
      </c>
    </row>
    <row r="73" spans="1:13" ht="15" customHeight="1">
      <c r="A73" s="4" t="s">
        <v>229</v>
      </c>
      <c r="B73" s="4" t="s">
        <v>59</v>
      </c>
      <c r="C73" s="5">
        <v>45931</v>
      </c>
      <c r="D73" s="4" t="s">
        <v>210</v>
      </c>
      <c r="E73" s="6">
        <v>4653</v>
      </c>
      <c r="F73" s="7">
        <v>2331.37</v>
      </c>
      <c r="G73" s="8">
        <v>38</v>
      </c>
      <c r="H73" s="4" t="s">
        <v>211</v>
      </c>
      <c r="I73" s="4" t="s">
        <v>62</v>
      </c>
      <c r="J73" s="4" t="s">
        <v>230</v>
      </c>
      <c r="K73" s="4" t="s">
        <v>35</v>
      </c>
      <c r="L73" s="4" t="s">
        <v>64</v>
      </c>
      <c r="M73" s="4" t="s">
        <v>162</v>
      </c>
    </row>
    <row r="74" spans="1:13" ht="15" customHeight="1">
      <c r="A74" s="4" t="s">
        <v>231</v>
      </c>
      <c r="B74" s="4" t="s">
        <v>59</v>
      </c>
      <c r="C74" s="5">
        <v>45962</v>
      </c>
      <c r="D74" s="4" t="s">
        <v>210</v>
      </c>
      <c r="E74" s="6">
        <v>4245</v>
      </c>
      <c r="F74" s="7">
        <v>2015.83</v>
      </c>
      <c r="G74" s="8">
        <v>39</v>
      </c>
      <c r="H74" s="4" t="s">
        <v>211</v>
      </c>
      <c r="I74" s="4" t="s">
        <v>62</v>
      </c>
      <c r="J74" s="4" t="s">
        <v>232</v>
      </c>
      <c r="K74" s="4" t="s">
        <v>35</v>
      </c>
      <c r="L74" s="4" t="s">
        <v>64</v>
      </c>
      <c r="M74" s="4" t="s">
        <v>148</v>
      </c>
    </row>
    <row r="75" spans="1:13" ht="15" customHeight="1">
      <c r="A75" s="4" t="s">
        <v>233</v>
      </c>
      <c r="B75" s="4" t="s">
        <v>59</v>
      </c>
      <c r="C75" s="5">
        <v>45992</v>
      </c>
      <c r="D75" s="4" t="s">
        <v>210</v>
      </c>
      <c r="E75" s="6">
        <v>3338</v>
      </c>
      <c r="F75" s="7">
        <v>1683.26</v>
      </c>
      <c r="G75" s="8">
        <v>27</v>
      </c>
      <c r="H75" s="4" t="s">
        <v>211</v>
      </c>
      <c r="I75" s="4" t="s">
        <v>62</v>
      </c>
      <c r="J75" s="4" t="s">
        <v>234</v>
      </c>
      <c r="K75" s="4" t="s">
        <v>35</v>
      </c>
      <c r="L75" s="4" t="s">
        <v>64</v>
      </c>
      <c r="M75" s="4" t="s">
        <v>235</v>
      </c>
    </row>
    <row r="76" spans="1:13" ht="15" customHeight="1">
      <c r="A76" s="4" t="s">
        <v>236</v>
      </c>
      <c r="B76" s="4" t="s">
        <v>59</v>
      </c>
      <c r="C76" s="5">
        <v>45658</v>
      </c>
      <c r="D76" s="4" t="s">
        <v>237</v>
      </c>
      <c r="E76" s="6">
        <v>7690</v>
      </c>
      <c r="F76" s="7">
        <v>4477.46</v>
      </c>
      <c r="G76" s="8">
        <v>48</v>
      </c>
      <c r="H76" s="4" t="s">
        <v>238</v>
      </c>
      <c r="I76" s="4" t="s">
        <v>62</v>
      </c>
      <c r="J76" s="4" t="s">
        <v>239</v>
      </c>
      <c r="K76" s="4" t="s">
        <v>35</v>
      </c>
      <c r="L76" s="4" t="s">
        <v>64</v>
      </c>
      <c r="M76" s="4" t="s">
        <v>124</v>
      </c>
    </row>
    <row r="77" spans="1:13" ht="15" customHeight="1">
      <c r="A77" s="4" t="s">
        <v>240</v>
      </c>
      <c r="B77" s="4" t="s">
        <v>59</v>
      </c>
      <c r="C77" s="5">
        <v>45689</v>
      </c>
      <c r="D77" s="4" t="s">
        <v>237</v>
      </c>
      <c r="E77" s="6">
        <v>8678</v>
      </c>
      <c r="F77" s="7">
        <v>5124.34</v>
      </c>
      <c r="G77" s="8">
        <v>47</v>
      </c>
      <c r="H77" s="4" t="s">
        <v>238</v>
      </c>
      <c r="I77" s="4" t="s">
        <v>62</v>
      </c>
      <c r="J77" s="4" t="s">
        <v>241</v>
      </c>
      <c r="K77" s="4" t="s">
        <v>35</v>
      </c>
      <c r="L77" s="4" t="s">
        <v>64</v>
      </c>
      <c r="M77" s="4" t="s">
        <v>141</v>
      </c>
    </row>
    <row r="78" spans="1:13" ht="15" customHeight="1">
      <c r="A78" s="4" t="s">
        <v>242</v>
      </c>
      <c r="B78" s="4" t="s">
        <v>59</v>
      </c>
      <c r="C78" s="5">
        <v>45717</v>
      </c>
      <c r="D78" s="4" t="s">
        <v>237</v>
      </c>
      <c r="E78" s="6">
        <v>5796</v>
      </c>
      <c r="F78" s="7">
        <v>3277.95</v>
      </c>
      <c r="G78" s="8">
        <v>47</v>
      </c>
      <c r="H78" s="4" t="s">
        <v>238</v>
      </c>
      <c r="I78" s="4" t="s">
        <v>62</v>
      </c>
      <c r="J78" s="4" t="s">
        <v>243</v>
      </c>
      <c r="K78" s="4" t="s">
        <v>35</v>
      </c>
      <c r="L78" s="4" t="s">
        <v>64</v>
      </c>
      <c r="M78" s="4" t="s">
        <v>127</v>
      </c>
    </row>
    <row r="79" spans="1:13" ht="15" customHeight="1">
      <c r="A79" s="4" t="s">
        <v>244</v>
      </c>
      <c r="B79" s="4" t="s">
        <v>59</v>
      </c>
      <c r="C79" s="5">
        <v>45748</v>
      </c>
      <c r="D79" s="4" t="s">
        <v>237</v>
      </c>
      <c r="E79" s="6">
        <v>7581</v>
      </c>
      <c r="F79" s="7">
        <v>4353.04</v>
      </c>
      <c r="G79" s="8">
        <v>48</v>
      </c>
      <c r="H79" s="4" t="s">
        <v>238</v>
      </c>
      <c r="I79" s="4" t="s">
        <v>62</v>
      </c>
      <c r="J79" s="4" t="s">
        <v>245</v>
      </c>
      <c r="K79" s="4" t="s">
        <v>35</v>
      </c>
      <c r="L79" s="4" t="s">
        <v>64</v>
      </c>
      <c r="M79" s="4" t="s">
        <v>141</v>
      </c>
    </row>
    <row r="80" spans="1:13" ht="15" customHeight="1">
      <c r="A80" s="4" t="s">
        <v>246</v>
      </c>
      <c r="B80" s="4" t="s">
        <v>59</v>
      </c>
      <c r="C80" s="5">
        <v>45778</v>
      </c>
      <c r="D80" s="4" t="s">
        <v>237</v>
      </c>
      <c r="E80" s="6">
        <v>8816</v>
      </c>
      <c r="F80" s="7">
        <v>5064.76</v>
      </c>
      <c r="G80" s="8">
        <v>49</v>
      </c>
      <c r="H80" s="4" t="s">
        <v>238</v>
      </c>
      <c r="I80" s="4" t="s">
        <v>62</v>
      </c>
      <c r="J80" s="4" t="s">
        <v>247</v>
      </c>
      <c r="K80" s="4" t="s">
        <v>35</v>
      </c>
      <c r="L80" s="4" t="s">
        <v>64</v>
      </c>
      <c r="M80" s="4" t="s">
        <v>124</v>
      </c>
    </row>
    <row r="81" spans="1:13" ht="15" customHeight="1">
      <c r="A81" s="4" t="s">
        <v>248</v>
      </c>
      <c r="B81" s="4" t="s">
        <v>59</v>
      </c>
      <c r="C81" s="5">
        <v>45809</v>
      </c>
      <c r="D81" s="4" t="s">
        <v>237</v>
      </c>
      <c r="E81" s="6">
        <v>7393</v>
      </c>
      <c r="F81" s="7">
        <v>4244.6899999999996</v>
      </c>
      <c r="G81" s="8">
        <v>49</v>
      </c>
      <c r="H81" s="4" t="s">
        <v>238</v>
      </c>
      <c r="I81" s="4" t="s">
        <v>62</v>
      </c>
      <c r="J81" s="4" t="s">
        <v>249</v>
      </c>
      <c r="K81" s="4" t="s">
        <v>35</v>
      </c>
      <c r="L81" s="4" t="s">
        <v>64</v>
      </c>
      <c r="M81" s="4" t="s">
        <v>141</v>
      </c>
    </row>
    <row r="82" spans="1:13" ht="15" customHeight="1">
      <c r="A82" s="4" t="s">
        <v>250</v>
      </c>
      <c r="B82" s="4" t="s">
        <v>59</v>
      </c>
      <c r="C82" s="5">
        <v>45839</v>
      </c>
      <c r="D82" s="4" t="s">
        <v>237</v>
      </c>
      <c r="E82" s="6">
        <v>9967</v>
      </c>
      <c r="F82" s="7">
        <v>5456.38</v>
      </c>
      <c r="G82" s="8">
        <v>49</v>
      </c>
      <c r="H82" s="4" t="s">
        <v>238</v>
      </c>
      <c r="I82" s="4" t="s">
        <v>62</v>
      </c>
      <c r="J82" s="4" t="s">
        <v>251</v>
      </c>
      <c r="K82" s="4" t="s">
        <v>35</v>
      </c>
      <c r="L82" s="4" t="s">
        <v>64</v>
      </c>
      <c r="M82" s="4" t="s">
        <v>130</v>
      </c>
    </row>
    <row r="83" spans="1:13" ht="15" customHeight="1">
      <c r="A83" s="4" t="s">
        <v>252</v>
      </c>
      <c r="B83" s="4" t="s">
        <v>59</v>
      </c>
      <c r="C83" s="5">
        <v>45870</v>
      </c>
      <c r="D83" s="4" t="s">
        <v>237</v>
      </c>
      <c r="E83" s="6">
        <v>8821</v>
      </c>
      <c r="F83" s="7">
        <v>4695.8599999999997</v>
      </c>
      <c r="G83" s="8">
        <v>48</v>
      </c>
      <c r="H83" s="4" t="s">
        <v>238</v>
      </c>
      <c r="I83" s="4" t="s">
        <v>62</v>
      </c>
      <c r="J83" s="4" t="s">
        <v>253</v>
      </c>
      <c r="K83" s="4" t="s">
        <v>35</v>
      </c>
      <c r="L83" s="4" t="s">
        <v>64</v>
      </c>
      <c r="M83" s="4" t="s">
        <v>124</v>
      </c>
    </row>
    <row r="84" spans="1:13" ht="15" customHeight="1">
      <c r="A84" s="4" t="s">
        <v>254</v>
      </c>
      <c r="B84" s="4" t="s">
        <v>59</v>
      </c>
      <c r="C84" s="5">
        <v>45901</v>
      </c>
      <c r="D84" s="4" t="s">
        <v>237</v>
      </c>
      <c r="E84" s="6">
        <v>7586</v>
      </c>
      <c r="F84" s="7">
        <v>4069.52</v>
      </c>
      <c r="G84" s="8">
        <v>48</v>
      </c>
      <c r="H84" s="4" t="s">
        <v>238</v>
      </c>
      <c r="I84" s="4" t="s">
        <v>62</v>
      </c>
      <c r="J84" s="4" t="s">
        <v>255</v>
      </c>
      <c r="K84" s="4" t="s">
        <v>35</v>
      </c>
      <c r="L84" s="4" t="s">
        <v>64</v>
      </c>
      <c r="M84" s="4" t="s">
        <v>162</v>
      </c>
    </row>
    <row r="85" spans="1:13" ht="15" customHeight="1">
      <c r="A85" s="4" t="s">
        <v>256</v>
      </c>
      <c r="B85" s="4" t="s">
        <v>59</v>
      </c>
      <c r="C85" s="5">
        <v>45931</v>
      </c>
      <c r="D85" s="4" t="s">
        <v>237</v>
      </c>
      <c r="E85" s="6">
        <v>8898</v>
      </c>
      <c r="F85" s="7">
        <v>4260.3500000000004</v>
      </c>
      <c r="G85" s="8">
        <v>48</v>
      </c>
      <c r="H85" s="4" t="s">
        <v>238</v>
      </c>
      <c r="I85" s="4" t="s">
        <v>62</v>
      </c>
      <c r="J85" s="4" t="s">
        <v>257</v>
      </c>
      <c r="K85" s="4" t="s">
        <v>35</v>
      </c>
      <c r="L85" s="4" t="s">
        <v>64</v>
      </c>
      <c r="M85" s="4" t="s">
        <v>127</v>
      </c>
    </row>
    <row r="86" spans="1:13" ht="15" customHeight="1">
      <c r="A86" s="4" t="s">
        <v>258</v>
      </c>
      <c r="B86" s="4" t="s">
        <v>59</v>
      </c>
      <c r="C86" s="5">
        <v>45962</v>
      </c>
      <c r="D86" s="4" t="s">
        <v>237</v>
      </c>
      <c r="E86" s="6">
        <v>7612</v>
      </c>
      <c r="F86" s="7">
        <v>3501.21</v>
      </c>
      <c r="G86" s="8">
        <v>49</v>
      </c>
      <c r="H86" s="4" t="s">
        <v>238</v>
      </c>
      <c r="I86" s="4" t="s">
        <v>62</v>
      </c>
      <c r="J86" s="4" t="s">
        <v>259</v>
      </c>
      <c r="K86" s="4" t="s">
        <v>35</v>
      </c>
      <c r="L86" s="4" t="s">
        <v>64</v>
      </c>
      <c r="M86" s="4" t="s">
        <v>260</v>
      </c>
    </row>
    <row r="87" spans="1:13" ht="15" customHeight="1">
      <c r="A87" s="4" t="s">
        <v>261</v>
      </c>
      <c r="B87" s="4" t="s">
        <v>59</v>
      </c>
      <c r="C87" s="5">
        <v>45992</v>
      </c>
      <c r="D87" s="4" t="s">
        <v>237</v>
      </c>
      <c r="E87" s="6">
        <v>7389</v>
      </c>
      <c r="F87" s="7">
        <v>3550.56</v>
      </c>
      <c r="G87" s="8">
        <v>47</v>
      </c>
      <c r="H87" s="4" t="s">
        <v>238</v>
      </c>
      <c r="I87" s="4" t="s">
        <v>62</v>
      </c>
      <c r="J87" s="4" t="s">
        <v>262</v>
      </c>
      <c r="K87" s="4" t="s">
        <v>35</v>
      </c>
      <c r="L87" s="4" t="s">
        <v>64</v>
      </c>
      <c r="M87" s="4" t="s">
        <v>263</v>
      </c>
    </row>
    <row r="88" spans="1:13" ht="15" customHeight="1">
      <c r="A88" s="4" t="s">
        <v>264</v>
      </c>
      <c r="B88" s="4" t="s">
        <v>59</v>
      </c>
      <c r="C88" s="5">
        <v>45658</v>
      </c>
      <c r="D88" s="4" t="s">
        <v>265</v>
      </c>
      <c r="E88" s="6">
        <v>7637</v>
      </c>
      <c r="F88" s="7">
        <v>4324.13</v>
      </c>
      <c r="G88" s="8">
        <v>36</v>
      </c>
      <c r="H88" s="4" t="s">
        <v>266</v>
      </c>
      <c r="I88" s="4" t="s">
        <v>62</v>
      </c>
      <c r="J88" s="4" t="s">
        <v>267</v>
      </c>
      <c r="K88" s="4" t="s">
        <v>35</v>
      </c>
      <c r="L88" s="4" t="s">
        <v>64</v>
      </c>
      <c r="M88" s="4" t="s">
        <v>130</v>
      </c>
    </row>
    <row r="89" spans="1:13" ht="15" customHeight="1">
      <c r="A89" s="4" t="s">
        <v>268</v>
      </c>
      <c r="B89" s="4" t="s">
        <v>59</v>
      </c>
      <c r="C89" s="5">
        <v>45689</v>
      </c>
      <c r="D89" s="4" t="s">
        <v>265</v>
      </c>
      <c r="E89" s="6">
        <v>7938</v>
      </c>
      <c r="F89" s="7">
        <v>4558.78</v>
      </c>
      <c r="G89" s="8">
        <v>36</v>
      </c>
      <c r="H89" s="4" t="s">
        <v>266</v>
      </c>
      <c r="I89" s="4" t="s">
        <v>62</v>
      </c>
      <c r="J89" s="4" t="s">
        <v>269</v>
      </c>
      <c r="K89" s="4" t="s">
        <v>35</v>
      </c>
      <c r="L89" s="4" t="s">
        <v>64</v>
      </c>
      <c r="M89" s="4" t="s">
        <v>130</v>
      </c>
    </row>
    <row r="90" spans="1:13" ht="15" customHeight="1">
      <c r="A90" s="4" t="s">
        <v>270</v>
      </c>
      <c r="B90" s="4" t="s">
        <v>59</v>
      </c>
      <c r="C90" s="5">
        <v>45717</v>
      </c>
      <c r="D90" s="4" t="s">
        <v>265</v>
      </c>
      <c r="E90" s="6">
        <v>7666</v>
      </c>
      <c r="F90" s="7">
        <v>4340.6099999999997</v>
      </c>
      <c r="G90" s="8">
        <v>37</v>
      </c>
      <c r="H90" s="4" t="s">
        <v>266</v>
      </c>
      <c r="I90" s="4" t="s">
        <v>62</v>
      </c>
      <c r="J90" s="4" t="s">
        <v>271</v>
      </c>
      <c r="K90" s="4" t="s">
        <v>35</v>
      </c>
      <c r="L90" s="4" t="s">
        <v>64</v>
      </c>
      <c r="M90" s="4" t="s">
        <v>124</v>
      </c>
    </row>
    <row r="91" spans="1:13" ht="15" customHeight="1">
      <c r="A91" s="4" t="s">
        <v>272</v>
      </c>
      <c r="B91" s="4" t="s">
        <v>59</v>
      </c>
      <c r="C91" s="5">
        <v>45748</v>
      </c>
      <c r="D91" s="4" t="s">
        <v>265</v>
      </c>
      <c r="E91" s="6">
        <v>9036</v>
      </c>
      <c r="F91" s="7">
        <v>5119.12</v>
      </c>
      <c r="G91" s="8">
        <v>54</v>
      </c>
      <c r="H91" s="4" t="s">
        <v>266</v>
      </c>
      <c r="I91" s="4" t="s">
        <v>62</v>
      </c>
      <c r="J91" s="4" t="s">
        <v>273</v>
      </c>
      <c r="K91" s="4" t="s">
        <v>35</v>
      </c>
      <c r="L91" s="4" t="s">
        <v>64</v>
      </c>
      <c r="M91" s="4" t="s">
        <v>162</v>
      </c>
    </row>
    <row r="92" spans="1:13" ht="15" customHeight="1">
      <c r="A92" s="4" t="s">
        <v>274</v>
      </c>
      <c r="B92" s="4" t="s">
        <v>59</v>
      </c>
      <c r="C92" s="5">
        <v>45778</v>
      </c>
      <c r="D92" s="4" t="s">
        <v>265</v>
      </c>
      <c r="E92" s="6">
        <v>9459</v>
      </c>
      <c r="F92" s="7">
        <v>5359.5</v>
      </c>
      <c r="G92" s="8">
        <v>56</v>
      </c>
      <c r="H92" s="4" t="s">
        <v>266</v>
      </c>
      <c r="I92" s="4" t="s">
        <v>62</v>
      </c>
      <c r="J92" s="4" t="s">
        <v>275</v>
      </c>
      <c r="K92" s="4" t="s">
        <v>35</v>
      </c>
      <c r="L92" s="4" t="s">
        <v>64</v>
      </c>
      <c r="M92" s="4" t="s">
        <v>127</v>
      </c>
    </row>
    <row r="93" spans="1:13" ht="15" customHeight="1">
      <c r="A93" s="4" t="s">
        <v>276</v>
      </c>
      <c r="B93" s="4" t="s">
        <v>59</v>
      </c>
      <c r="C93" s="5">
        <v>45809</v>
      </c>
      <c r="D93" s="4" t="s">
        <v>265</v>
      </c>
      <c r="E93" s="6">
        <v>8952</v>
      </c>
      <c r="F93" s="7">
        <v>5143.1499999999996</v>
      </c>
      <c r="G93" s="8">
        <v>55</v>
      </c>
      <c r="H93" s="4" t="s">
        <v>266</v>
      </c>
      <c r="I93" s="4" t="s">
        <v>62</v>
      </c>
      <c r="J93" s="4" t="s">
        <v>277</v>
      </c>
      <c r="K93" s="4" t="s">
        <v>35</v>
      </c>
      <c r="L93" s="4" t="s">
        <v>64</v>
      </c>
      <c r="M93" s="4" t="s">
        <v>127</v>
      </c>
    </row>
    <row r="94" spans="1:13" ht="15" customHeight="1">
      <c r="A94" s="4" t="s">
        <v>278</v>
      </c>
      <c r="B94" s="4" t="s">
        <v>59</v>
      </c>
      <c r="C94" s="5">
        <v>45839</v>
      </c>
      <c r="D94" s="4" t="s">
        <v>265</v>
      </c>
      <c r="E94" s="6">
        <v>10158</v>
      </c>
      <c r="F94" s="7">
        <v>5483.01</v>
      </c>
      <c r="G94" s="8">
        <v>57</v>
      </c>
      <c r="H94" s="4" t="s">
        <v>266</v>
      </c>
      <c r="I94" s="4" t="s">
        <v>62</v>
      </c>
      <c r="J94" s="4" t="s">
        <v>279</v>
      </c>
      <c r="K94" s="4" t="s">
        <v>35</v>
      </c>
      <c r="L94" s="4" t="s">
        <v>64</v>
      </c>
      <c r="M94" s="4" t="s">
        <v>124</v>
      </c>
    </row>
    <row r="95" spans="1:13" ht="15" customHeight="1">
      <c r="A95" s="4" t="s">
        <v>280</v>
      </c>
      <c r="B95" s="4" t="s">
        <v>59</v>
      </c>
      <c r="C95" s="5">
        <v>45870</v>
      </c>
      <c r="D95" s="4" t="s">
        <v>265</v>
      </c>
      <c r="E95" s="6">
        <v>8503</v>
      </c>
      <c r="F95" s="7">
        <v>4464.24</v>
      </c>
      <c r="G95" s="8">
        <v>54</v>
      </c>
      <c r="H95" s="4" t="s">
        <v>266</v>
      </c>
      <c r="I95" s="4" t="s">
        <v>62</v>
      </c>
      <c r="J95" s="4" t="s">
        <v>281</v>
      </c>
      <c r="K95" s="4" t="s">
        <v>35</v>
      </c>
      <c r="L95" s="4" t="s">
        <v>64</v>
      </c>
      <c r="M95" s="4" t="s">
        <v>141</v>
      </c>
    </row>
    <row r="96" spans="1:13" ht="15" customHeight="1">
      <c r="A96" s="4" t="s">
        <v>282</v>
      </c>
      <c r="B96" s="4" t="s">
        <v>59</v>
      </c>
      <c r="C96" s="5">
        <v>45901</v>
      </c>
      <c r="D96" s="4" t="s">
        <v>265</v>
      </c>
      <c r="E96" s="6">
        <v>7803</v>
      </c>
      <c r="F96" s="7">
        <v>4126.9799999999996</v>
      </c>
      <c r="G96" s="8">
        <v>54</v>
      </c>
      <c r="H96" s="4" t="s">
        <v>266</v>
      </c>
      <c r="I96" s="4" t="s">
        <v>62</v>
      </c>
      <c r="J96" s="4" t="s">
        <v>283</v>
      </c>
      <c r="K96" s="4" t="s">
        <v>35</v>
      </c>
      <c r="L96" s="4" t="s">
        <v>64</v>
      </c>
      <c r="M96" s="4" t="s">
        <v>130</v>
      </c>
    </row>
    <row r="97" spans="1:13" ht="15" customHeight="1">
      <c r="A97" s="4" t="s">
        <v>284</v>
      </c>
      <c r="B97" s="4" t="s">
        <v>59</v>
      </c>
      <c r="C97" s="5">
        <v>45931</v>
      </c>
      <c r="D97" s="4" t="s">
        <v>265</v>
      </c>
      <c r="E97" s="6">
        <v>9383</v>
      </c>
      <c r="F97" s="7">
        <v>4491.3999999999996</v>
      </c>
      <c r="G97" s="8">
        <v>48</v>
      </c>
      <c r="H97" s="4" t="s">
        <v>266</v>
      </c>
      <c r="I97" s="4" t="s">
        <v>62</v>
      </c>
      <c r="J97" s="4" t="s">
        <v>285</v>
      </c>
      <c r="K97" s="4" t="s">
        <v>35</v>
      </c>
      <c r="L97" s="4" t="s">
        <v>64</v>
      </c>
      <c r="M97" s="4" t="s">
        <v>127</v>
      </c>
    </row>
    <row r="98" spans="1:13" ht="15" customHeight="1">
      <c r="A98" s="4" t="s">
        <v>286</v>
      </c>
      <c r="B98" s="4" t="s">
        <v>59</v>
      </c>
      <c r="C98" s="5">
        <v>45962</v>
      </c>
      <c r="D98" s="4" t="s">
        <v>265</v>
      </c>
      <c r="E98" s="6">
        <v>8701</v>
      </c>
      <c r="F98" s="7">
        <v>3944.22</v>
      </c>
      <c r="G98" s="8">
        <v>46</v>
      </c>
      <c r="H98" s="4" t="s">
        <v>266</v>
      </c>
      <c r="I98" s="4" t="s">
        <v>62</v>
      </c>
      <c r="J98" s="4" t="s">
        <v>287</v>
      </c>
      <c r="K98" s="4" t="s">
        <v>35</v>
      </c>
      <c r="L98" s="4" t="s">
        <v>64</v>
      </c>
      <c r="M98" s="4" t="s">
        <v>288</v>
      </c>
    </row>
    <row r="99" spans="1:13" ht="15" customHeight="1">
      <c r="A99" s="4" t="s">
        <v>289</v>
      </c>
      <c r="B99" s="4" t="s">
        <v>59</v>
      </c>
      <c r="C99" s="5">
        <v>45992</v>
      </c>
      <c r="D99" s="4" t="s">
        <v>265</v>
      </c>
      <c r="E99" s="6">
        <v>8931</v>
      </c>
      <c r="F99" s="7">
        <v>4286.6400000000003</v>
      </c>
      <c r="G99" s="8">
        <v>46</v>
      </c>
      <c r="H99" s="4" t="s">
        <v>266</v>
      </c>
      <c r="I99" s="4" t="s">
        <v>62</v>
      </c>
      <c r="J99" s="4" t="s">
        <v>290</v>
      </c>
      <c r="K99" s="4" t="s">
        <v>35</v>
      </c>
      <c r="L99" s="4" t="s">
        <v>64</v>
      </c>
      <c r="M99" s="4" t="s">
        <v>291</v>
      </c>
    </row>
    <row r="100" spans="1:13" ht="15" customHeight="1">
      <c r="A100" s="4" t="s">
        <v>292</v>
      </c>
      <c r="B100" s="4" t="s">
        <v>59</v>
      </c>
      <c r="C100" s="5">
        <v>45658</v>
      </c>
      <c r="D100" s="4" t="s">
        <v>293</v>
      </c>
      <c r="E100" s="6">
        <v>9103</v>
      </c>
      <c r="F100" s="7">
        <v>5667.97</v>
      </c>
      <c r="G100" s="8">
        <v>49</v>
      </c>
      <c r="H100" s="4" t="s">
        <v>294</v>
      </c>
      <c r="I100" s="4" t="s">
        <v>62</v>
      </c>
      <c r="J100" s="4" t="s">
        <v>295</v>
      </c>
      <c r="K100" s="4" t="s">
        <v>35</v>
      </c>
      <c r="L100" s="4" t="s">
        <v>64</v>
      </c>
      <c r="M100" s="4" t="s">
        <v>162</v>
      </c>
    </row>
    <row r="101" spans="1:13" ht="15" customHeight="1">
      <c r="A101" s="4" t="s">
        <v>296</v>
      </c>
      <c r="B101" s="4" t="s">
        <v>59</v>
      </c>
      <c r="C101" s="5">
        <v>45689</v>
      </c>
      <c r="D101" s="4" t="s">
        <v>293</v>
      </c>
      <c r="E101" s="6">
        <v>9344</v>
      </c>
      <c r="F101" s="7">
        <v>5743.58</v>
      </c>
      <c r="G101" s="8">
        <v>49</v>
      </c>
      <c r="H101" s="4" t="s">
        <v>294</v>
      </c>
      <c r="I101" s="4" t="s">
        <v>62</v>
      </c>
      <c r="J101" s="4" t="s">
        <v>297</v>
      </c>
      <c r="K101" s="4" t="s">
        <v>35</v>
      </c>
      <c r="L101" s="4" t="s">
        <v>64</v>
      </c>
      <c r="M101" s="4" t="s">
        <v>130</v>
      </c>
    </row>
    <row r="102" spans="1:13" ht="15" customHeight="1">
      <c r="A102" s="4" t="s">
        <v>298</v>
      </c>
      <c r="B102" s="4" t="s">
        <v>59</v>
      </c>
      <c r="C102" s="5">
        <v>45717</v>
      </c>
      <c r="D102" s="4" t="s">
        <v>293</v>
      </c>
      <c r="E102" s="6">
        <v>8739</v>
      </c>
      <c r="F102" s="7">
        <v>5440.63</v>
      </c>
      <c r="G102" s="8">
        <v>50</v>
      </c>
      <c r="H102" s="4" t="s">
        <v>294</v>
      </c>
      <c r="I102" s="4" t="s">
        <v>62</v>
      </c>
      <c r="J102" s="4" t="s">
        <v>299</v>
      </c>
      <c r="K102" s="4" t="s">
        <v>35</v>
      </c>
      <c r="L102" s="4" t="s">
        <v>64</v>
      </c>
      <c r="M102" s="4" t="s">
        <v>130</v>
      </c>
    </row>
    <row r="103" spans="1:13" ht="15" customHeight="1">
      <c r="A103" s="4" t="s">
        <v>300</v>
      </c>
      <c r="B103" s="4" t="s">
        <v>59</v>
      </c>
      <c r="C103" s="5">
        <v>45748</v>
      </c>
      <c r="D103" s="4" t="s">
        <v>293</v>
      </c>
      <c r="E103" s="6">
        <v>9629</v>
      </c>
      <c r="F103" s="7">
        <v>5919.28</v>
      </c>
      <c r="G103" s="8">
        <v>50</v>
      </c>
      <c r="H103" s="4" t="s">
        <v>294</v>
      </c>
      <c r="I103" s="4" t="s">
        <v>62</v>
      </c>
      <c r="J103" s="4" t="s">
        <v>301</v>
      </c>
      <c r="K103" s="4" t="s">
        <v>35</v>
      </c>
      <c r="L103" s="4" t="s">
        <v>64</v>
      </c>
      <c r="M103" s="4" t="s">
        <v>130</v>
      </c>
    </row>
    <row r="104" spans="1:13" ht="15" customHeight="1">
      <c r="A104" s="4" t="s">
        <v>302</v>
      </c>
      <c r="B104" s="4" t="s">
        <v>59</v>
      </c>
      <c r="C104" s="5">
        <v>45778</v>
      </c>
      <c r="D104" s="4" t="s">
        <v>293</v>
      </c>
      <c r="E104" s="6">
        <v>10066</v>
      </c>
      <c r="F104" s="7">
        <v>6188.69</v>
      </c>
      <c r="G104" s="8">
        <v>51</v>
      </c>
      <c r="H104" s="4" t="s">
        <v>294</v>
      </c>
      <c r="I104" s="4" t="s">
        <v>62</v>
      </c>
      <c r="J104" s="4" t="s">
        <v>303</v>
      </c>
      <c r="K104" s="4" t="s">
        <v>35</v>
      </c>
      <c r="L104" s="4" t="s">
        <v>64</v>
      </c>
      <c r="M104" s="4" t="s">
        <v>141</v>
      </c>
    </row>
    <row r="105" spans="1:13" ht="15" customHeight="1">
      <c r="A105" s="4" t="s">
        <v>304</v>
      </c>
      <c r="B105" s="4" t="s">
        <v>59</v>
      </c>
      <c r="C105" s="5">
        <v>45809</v>
      </c>
      <c r="D105" s="4" t="s">
        <v>293</v>
      </c>
      <c r="E105" s="6">
        <v>9655</v>
      </c>
      <c r="F105" s="7">
        <v>5935.32</v>
      </c>
      <c r="G105" s="8">
        <v>47</v>
      </c>
      <c r="H105" s="4" t="s">
        <v>294</v>
      </c>
      <c r="I105" s="4" t="s">
        <v>62</v>
      </c>
      <c r="J105" s="4" t="s">
        <v>305</v>
      </c>
      <c r="K105" s="4" t="s">
        <v>35</v>
      </c>
      <c r="L105" s="4" t="s">
        <v>64</v>
      </c>
      <c r="M105" s="4" t="s">
        <v>162</v>
      </c>
    </row>
    <row r="106" spans="1:13" ht="15" customHeight="1">
      <c r="A106" s="4" t="s">
        <v>306</v>
      </c>
      <c r="B106" s="4" t="s">
        <v>59</v>
      </c>
      <c r="C106" s="5">
        <v>45839</v>
      </c>
      <c r="D106" s="4" t="s">
        <v>293</v>
      </c>
      <c r="E106" s="6">
        <v>11547</v>
      </c>
      <c r="F106" s="7">
        <v>6758.37</v>
      </c>
      <c r="G106" s="8">
        <v>46</v>
      </c>
      <c r="H106" s="4" t="s">
        <v>294</v>
      </c>
      <c r="I106" s="4" t="s">
        <v>62</v>
      </c>
      <c r="J106" s="4" t="s">
        <v>307</v>
      </c>
      <c r="K106" s="4" t="s">
        <v>35</v>
      </c>
      <c r="L106" s="4" t="s">
        <v>64</v>
      </c>
      <c r="M106" s="4" t="s">
        <v>162</v>
      </c>
    </row>
    <row r="107" spans="1:13" ht="15" customHeight="1">
      <c r="A107" s="4" t="s">
        <v>308</v>
      </c>
      <c r="B107" s="4" t="s">
        <v>59</v>
      </c>
      <c r="C107" s="5">
        <v>45870</v>
      </c>
      <c r="D107" s="4" t="s">
        <v>293</v>
      </c>
      <c r="E107" s="6">
        <v>9729</v>
      </c>
      <c r="F107" s="7">
        <v>5609.92</v>
      </c>
      <c r="G107" s="8">
        <v>43</v>
      </c>
      <c r="H107" s="4" t="s">
        <v>294</v>
      </c>
      <c r="I107" s="4" t="s">
        <v>62</v>
      </c>
      <c r="J107" s="4" t="s">
        <v>309</v>
      </c>
      <c r="K107" s="4" t="s">
        <v>35</v>
      </c>
      <c r="L107" s="4" t="s">
        <v>64</v>
      </c>
      <c r="M107" s="4" t="s">
        <v>162</v>
      </c>
    </row>
    <row r="108" spans="1:13" ht="15" customHeight="1">
      <c r="A108" s="4" t="s">
        <v>310</v>
      </c>
      <c r="B108" s="4" t="s">
        <v>59</v>
      </c>
      <c r="C108" s="5">
        <v>45901</v>
      </c>
      <c r="D108" s="4" t="s">
        <v>293</v>
      </c>
      <c r="E108" s="6">
        <v>8142</v>
      </c>
      <c r="F108" s="7">
        <v>4670.49</v>
      </c>
      <c r="G108" s="8">
        <v>43</v>
      </c>
      <c r="H108" s="4" t="s">
        <v>294</v>
      </c>
      <c r="I108" s="4" t="s">
        <v>62</v>
      </c>
      <c r="J108" s="4" t="s">
        <v>311</v>
      </c>
      <c r="K108" s="4" t="s">
        <v>35</v>
      </c>
      <c r="L108" s="4" t="s">
        <v>64</v>
      </c>
      <c r="M108" s="4" t="s">
        <v>141</v>
      </c>
    </row>
    <row r="109" spans="1:13" ht="15" customHeight="1">
      <c r="A109" s="4" t="s">
        <v>312</v>
      </c>
      <c r="B109" s="4" t="s">
        <v>59</v>
      </c>
      <c r="C109" s="5">
        <v>45931</v>
      </c>
      <c r="D109" s="4" t="s">
        <v>293</v>
      </c>
      <c r="E109" s="6">
        <v>9241</v>
      </c>
      <c r="F109" s="7">
        <v>4793</v>
      </c>
      <c r="G109" s="8">
        <v>43</v>
      </c>
      <c r="H109" s="4" t="s">
        <v>294</v>
      </c>
      <c r="I109" s="4" t="s">
        <v>62</v>
      </c>
      <c r="J109" s="4" t="s">
        <v>313</v>
      </c>
      <c r="K109" s="4" t="s">
        <v>35</v>
      </c>
      <c r="L109" s="4" t="s">
        <v>64</v>
      </c>
      <c r="M109" s="4" t="s">
        <v>127</v>
      </c>
    </row>
    <row r="110" spans="1:13" ht="15" customHeight="1">
      <c r="A110" s="4" t="s">
        <v>314</v>
      </c>
      <c r="B110" s="4" t="s">
        <v>59</v>
      </c>
      <c r="C110" s="5">
        <v>45962</v>
      </c>
      <c r="D110" s="4" t="s">
        <v>293</v>
      </c>
      <c r="E110" s="6">
        <v>8274</v>
      </c>
      <c r="F110" s="7">
        <v>4168.83</v>
      </c>
      <c r="G110" s="8">
        <v>43</v>
      </c>
      <c r="H110" s="4" t="s">
        <v>294</v>
      </c>
      <c r="I110" s="4" t="s">
        <v>62</v>
      </c>
      <c r="J110" s="4" t="s">
        <v>315</v>
      </c>
      <c r="K110" s="4" t="s">
        <v>35</v>
      </c>
      <c r="L110" s="4" t="s">
        <v>64</v>
      </c>
      <c r="M110" s="4" t="s">
        <v>148</v>
      </c>
    </row>
    <row r="111" spans="1:13" ht="15" customHeight="1">
      <c r="A111" s="4" t="s">
        <v>316</v>
      </c>
      <c r="B111" s="4" t="s">
        <v>59</v>
      </c>
      <c r="C111" s="5">
        <v>45992</v>
      </c>
      <c r="D111" s="4" t="s">
        <v>293</v>
      </c>
      <c r="E111" s="6">
        <v>8481</v>
      </c>
      <c r="F111" s="7">
        <v>4524.8900000000003</v>
      </c>
      <c r="G111" s="8">
        <v>40</v>
      </c>
      <c r="H111" s="4" t="s">
        <v>294</v>
      </c>
      <c r="I111" s="4" t="s">
        <v>62</v>
      </c>
      <c r="J111" s="4" t="s">
        <v>317</v>
      </c>
      <c r="K111" s="4" t="s">
        <v>35</v>
      </c>
      <c r="L111" s="4" t="s">
        <v>64</v>
      </c>
      <c r="M111" s="4" t="s">
        <v>318</v>
      </c>
    </row>
    <row r="112" spans="1:13" ht="15" customHeight="1">
      <c r="A112" s="4" t="s">
        <v>319</v>
      </c>
      <c r="B112" s="4" t="s">
        <v>59</v>
      </c>
      <c r="C112" s="5">
        <v>45658</v>
      </c>
      <c r="D112" s="4" t="s">
        <v>320</v>
      </c>
      <c r="E112" s="6">
        <v>9594</v>
      </c>
      <c r="F112" s="7">
        <v>5590.06</v>
      </c>
      <c r="G112" s="8">
        <v>52</v>
      </c>
      <c r="H112" s="4" t="s">
        <v>321</v>
      </c>
      <c r="I112" s="4" t="s">
        <v>62</v>
      </c>
      <c r="J112" s="4" t="s">
        <v>322</v>
      </c>
      <c r="K112" s="4" t="s">
        <v>35</v>
      </c>
      <c r="L112" s="4" t="s">
        <v>64</v>
      </c>
      <c r="M112" s="4" t="s">
        <v>124</v>
      </c>
    </row>
    <row r="113" spans="1:13" ht="15" customHeight="1">
      <c r="A113" s="4" t="s">
        <v>323</v>
      </c>
      <c r="B113" s="4" t="s">
        <v>59</v>
      </c>
      <c r="C113" s="5">
        <v>45689</v>
      </c>
      <c r="D113" s="4" t="s">
        <v>320</v>
      </c>
      <c r="E113" s="6">
        <v>9340</v>
      </c>
      <c r="F113" s="7">
        <v>5441.63</v>
      </c>
      <c r="G113" s="8">
        <v>54</v>
      </c>
      <c r="H113" s="4" t="s">
        <v>321</v>
      </c>
      <c r="I113" s="4" t="s">
        <v>62</v>
      </c>
      <c r="J113" s="4" t="s">
        <v>324</v>
      </c>
      <c r="K113" s="4" t="s">
        <v>35</v>
      </c>
      <c r="L113" s="4" t="s">
        <v>64</v>
      </c>
      <c r="M113" s="4" t="s">
        <v>130</v>
      </c>
    </row>
    <row r="114" spans="1:13" ht="15" customHeight="1">
      <c r="A114" s="4" t="s">
        <v>325</v>
      </c>
      <c r="B114" s="4" t="s">
        <v>59</v>
      </c>
      <c r="C114" s="5">
        <v>45717</v>
      </c>
      <c r="D114" s="4" t="s">
        <v>320</v>
      </c>
      <c r="E114" s="6">
        <v>9221</v>
      </c>
      <c r="F114" s="7">
        <v>5298.18</v>
      </c>
      <c r="G114" s="8">
        <v>53</v>
      </c>
      <c r="H114" s="4" t="s">
        <v>321</v>
      </c>
      <c r="I114" s="4" t="s">
        <v>62</v>
      </c>
      <c r="J114" s="4" t="s">
        <v>326</v>
      </c>
      <c r="K114" s="4" t="s">
        <v>35</v>
      </c>
      <c r="L114" s="4" t="s">
        <v>64</v>
      </c>
      <c r="M114" s="4" t="s">
        <v>130</v>
      </c>
    </row>
    <row r="115" spans="1:13" ht="15" customHeight="1">
      <c r="A115" s="4" t="s">
        <v>327</v>
      </c>
      <c r="B115" s="4" t="s">
        <v>59</v>
      </c>
      <c r="C115" s="5">
        <v>45748</v>
      </c>
      <c r="D115" s="4" t="s">
        <v>320</v>
      </c>
      <c r="E115" s="6">
        <v>10232</v>
      </c>
      <c r="F115" s="7">
        <v>5962.86</v>
      </c>
      <c r="G115" s="8">
        <v>53</v>
      </c>
      <c r="H115" s="4" t="s">
        <v>321</v>
      </c>
      <c r="I115" s="4" t="s">
        <v>62</v>
      </c>
      <c r="J115" s="4" t="s">
        <v>328</v>
      </c>
      <c r="K115" s="4" t="s">
        <v>35</v>
      </c>
      <c r="L115" s="4" t="s">
        <v>64</v>
      </c>
      <c r="M115" s="4" t="s">
        <v>124</v>
      </c>
    </row>
    <row r="116" spans="1:13" ht="15" customHeight="1">
      <c r="A116" s="4" t="s">
        <v>329</v>
      </c>
      <c r="B116" s="4" t="s">
        <v>59</v>
      </c>
      <c r="C116" s="5">
        <v>45778</v>
      </c>
      <c r="D116" s="4" t="s">
        <v>320</v>
      </c>
      <c r="E116" s="6">
        <v>10715</v>
      </c>
      <c r="F116" s="7">
        <v>6159.19</v>
      </c>
      <c r="G116" s="8">
        <v>53</v>
      </c>
      <c r="H116" s="4" t="s">
        <v>321</v>
      </c>
      <c r="I116" s="4" t="s">
        <v>62</v>
      </c>
      <c r="J116" s="4" t="s">
        <v>330</v>
      </c>
      <c r="K116" s="4" t="s">
        <v>35</v>
      </c>
      <c r="L116" s="4" t="s">
        <v>64</v>
      </c>
      <c r="M116" s="4" t="s">
        <v>141</v>
      </c>
    </row>
    <row r="117" spans="1:13" ht="15" customHeight="1">
      <c r="A117" s="4" t="s">
        <v>331</v>
      </c>
      <c r="B117" s="4" t="s">
        <v>59</v>
      </c>
      <c r="C117" s="5">
        <v>45809</v>
      </c>
      <c r="D117" s="4" t="s">
        <v>320</v>
      </c>
      <c r="E117" s="6">
        <v>10847</v>
      </c>
      <c r="F117" s="7">
        <v>6322.23</v>
      </c>
      <c r="G117" s="8">
        <v>53</v>
      </c>
      <c r="H117" s="4" t="s">
        <v>321</v>
      </c>
      <c r="I117" s="4" t="s">
        <v>62</v>
      </c>
      <c r="J117" s="4" t="s">
        <v>332</v>
      </c>
      <c r="K117" s="4" t="s">
        <v>35</v>
      </c>
      <c r="L117" s="4" t="s">
        <v>64</v>
      </c>
      <c r="M117" s="4" t="s">
        <v>130</v>
      </c>
    </row>
    <row r="118" spans="1:13" ht="15" customHeight="1">
      <c r="A118" s="4" t="s">
        <v>333</v>
      </c>
      <c r="B118" s="4" t="s">
        <v>59</v>
      </c>
      <c r="C118" s="5">
        <v>45839</v>
      </c>
      <c r="D118" s="4" t="s">
        <v>320</v>
      </c>
      <c r="E118" s="6">
        <v>12826</v>
      </c>
      <c r="F118" s="7">
        <v>7015.43</v>
      </c>
      <c r="G118" s="8">
        <v>53</v>
      </c>
      <c r="H118" s="4" t="s">
        <v>321</v>
      </c>
      <c r="I118" s="4" t="s">
        <v>62</v>
      </c>
      <c r="J118" s="4" t="s">
        <v>334</v>
      </c>
      <c r="K118" s="4" t="s">
        <v>35</v>
      </c>
      <c r="L118" s="4" t="s">
        <v>64</v>
      </c>
      <c r="M118" s="4" t="s">
        <v>130</v>
      </c>
    </row>
    <row r="119" spans="1:13" ht="15" customHeight="1">
      <c r="A119" s="4" t="s">
        <v>335</v>
      </c>
      <c r="B119" s="4" t="s">
        <v>59</v>
      </c>
      <c r="C119" s="5">
        <v>45870</v>
      </c>
      <c r="D119" s="4" t="s">
        <v>320</v>
      </c>
      <c r="E119" s="6">
        <v>10888</v>
      </c>
      <c r="F119" s="7">
        <v>5791.26</v>
      </c>
      <c r="G119" s="8">
        <v>53</v>
      </c>
      <c r="H119" s="4" t="s">
        <v>321</v>
      </c>
      <c r="I119" s="4" t="s">
        <v>62</v>
      </c>
      <c r="J119" s="4" t="s">
        <v>336</v>
      </c>
      <c r="K119" s="4" t="s">
        <v>35</v>
      </c>
      <c r="L119" s="4" t="s">
        <v>64</v>
      </c>
      <c r="M119" s="4" t="s">
        <v>124</v>
      </c>
    </row>
    <row r="120" spans="1:13" ht="15" customHeight="1">
      <c r="A120" s="4" t="s">
        <v>337</v>
      </c>
      <c r="B120" s="4" t="s">
        <v>59</v>
      </c>
      <c r="C120" s="5">
        <v>45901</v>
      </c>
      <c r="D120" s="4" t="s">
        <v>320</v>
      </c>
      <c r="E120" s="6">
        <v>10249</v>
      </c>
      <c r="F120" s="7">
        <v>5490.65</v>
      </c>
      <c r="G120" s="8">
        <v>53</v>
      </c>
      <c r="H120" s="4" t="s">
        <v>321</v>
      </c>
      <c r="I120" s="4" t="s">
        <v>62</v>
      </c>
      <c r="J120" s="4" t="s">
        <v>338</v>
      </c>
      <c r="K120" s="4" t="s">
        <v>35</v>
      </c>
      <c r="L120" s="4" t="s">
        <v>64</v>
      </c>
      <c r="M120" s="4" t="s">
        <v>127</v>
      </c>
    </row>
    <row r="121" spans="1:13" ht="15" customHeight="1">
      <c r="A121" s="4" t="s">
        <v>339</v>
      </c>
      <c r="B121" s="4" t="s">
        <v>59</v>
      </c>
      <c r="C121" s="5">
        <v>45931</v>
      </c>
      <c r="D121" s="4" t="s">
        <v>320</v>
      </c>
      <c r="E121" s="6">
        <v>11822</v>
      </c>
      <c r="F121" s="7">
        <v>5732.04</v>
      </c>
      <c r="G121" s="8">
        <v>53</v>
      </c>
      <c r="H121" s="4" t="s">
        <v>321</v>
      </c>
      <c r="I121" s="4" t="s">
        <v>62</v>
      </c>
      <c r="J121" s="4" t="s">
        <v>340</v>
      </c>
      <c r="K121" s="4" t="s">
        <v>35</v>
      </c>
      <c r="L121" s="4" t="s">
        <v>64</v>
      </c>
      <c r="M121" s="4" t="s">
        <v>141</v>
      </c>
    </row>
    <row r="122" spans="1:13" ht="15" customHeight="1">
      <c r="A122" s="4" t="s">
        <v>341</v>
      </c>
      <c r="B122" s="4" t="s">
        <v>59</v>
      </c>
      <c r="C122" s="5">
        <v>45962</v>
      </c>
      <c r="D122" s="4" t="s">
        <v>320</v>
      </c>
      <c r="E122" s="6">
        <v>10662</v>
      </c>
      <c r="F122" s="7">
        <v>4895.49</v>
      </c>
      <c r="G122" s="8">
        <v>52</v>
      </c>
      <c r="H122" s="4" t="s">
        <v>321</v>
      </c>
      <c r="I122" s="4" t="s">
        <v>62</v>
      </c>
      <c r="J122" s="4" t="s">
        <v>342</v>
      </c>
      <c r="K122" s="4" t="s">
        <v>35</v>
      </c>
      <c r="L122" s="4" t="s">
        <v>64</v>
      </c>
      <c r="M122" s="4" t="s">
        <v>177</v>
      </c>
    </row>
    <row r="123" spans="1:13" ht="15" customHeight="1">
      <c r="A123" s="4" t="s">
        <v>343</v>
      </c>
      <c r="B123" s="4" t="s">
        <v>59</v>
      </c>
      <c r="C123" s="5">
        <v>45992</v>
      </c>
      <c r="D123" s="4" t="s">
        <v>320</v>
      </c>
      <c r="E123" s="6">
        <v>10590</v>
      </c>
      <c r="F123" s="7">
        <v>5149.87</v>
      </c>
      <c r="G123" s="8">
        <v>54</v>
      </c>
      <c r="H123" s="4" t="s">
        <v>321</v>
      </c>
      <c r="I123" s="4" t="s">
        <v>62</v>
      </c>
      <c r="J123" s="4" t="s">
        <v>344</v>
      </c>
      <c r="K123" s="4" t="s">
        <v>35</v>
      </c>
      <c r="L123" s="4" t="s">
        <v>64</v>
      </c>
      <c r="M123" s="4" t="s">
        <v>345</v>
      </c>
    </row>
    <row r="124" spans="1:13" ht="15" customHeight="1">
      <c r="A124" s="4" t="s">
        <v>346</v>
      </c>
      <c r="B124" s="4" t="s">
        <v>59</v>
      </c>
      <c r="C124" s="5">
        <v>45658</v>
      </c>
      <c r="D124" s="4" t="s">
        <v>347</v>
      </c>
      <c r="E124" s="6">
        <v>6208</v>
      </c>
      <c r="F124" s="7">
        <v>3412.7</v>
      </c>
      <c r="G124" s="8">
        <v>41</v>
      </c>
      <c r="H124" s="4" t="s">
        <v>348</v>
      </c>
      <c r="I124" s="4" t="s">
        <v>62</v>
      </c>
      <c r="J124" s="4" t="s">
        <v>349</v>
      </c>
      <c r="K124" s="4" t="s">
        <v>35</v>
      </c>
      <c r="L124" s="4" t="s">
        <v>64</v>
      </c>
      <c r="M124" s="4" t="s">
        <v>127</v>
      </c>
    </row>
    <row r="125" spans="1:13" ht="15" customHeight="1">
      <c r="A125" s="4" t="s">
        <v>350</v>
      </c>
      <c r="B125" s="4" t="s">
        <v>59</v>
      </c>
      <c r="C125" s="5">
        <v>45689</v>
      </c>
      <c r="D125" s="4" t="s">
        <v>347</v>
      </c>
      <c r="E125" s="6">
        <v>5838</v>
      </c>
      <c r="F125" s="7">
        <v>3255.11</v>
      </c>
      <c r="G125" s="8">
        <v>37</v>
      </c>
      <c r="H125" s="4" t="s">
        <v>348</v>
      </c>
      <c r="I125" s="4" t="s">
        <v>62</v>
      </c>
      <c r="J125" s="4" t="s">
        <v>351</v>
      </c>
      <c r="K125" s="4" t="s">
        <v>35</v>
      </c>
      <c r="L125" s="4" t="s">
        <v>64</v>
      </c>
      <c r="M125" s="4" t="s">
        <v>124</v>
      </c>
    </row>
    <row r="126" spans="1:13" ht="15" customHeight="1">
      <c r="A126" s="4" t="s">
        <v>352</v>
      </c>
      <c r="B126" s="4" t="s">
        <v>59</v>
      </c>
      <c r="C126" s="5">
        <v>45717</v>
      </c>
      <c r="D126" s="4" t="s">
        <v>347</v>
      </c>
      <c r="E126" s="6">
        <v>5428</v>
      </c>
      <c r="F126" s="7">
        <v>3025.42</v>
      </c>
      <c r="G126" s="8">
        <v>31</v>
      </c>
      <c r="H126" s="4" t="s">
        <v>348</v>
      </c>
      <c r="I126" s="4" t="s">
        <v>62</v>
      </c>
      <c r="J126" s="4" t="s">
        <v>353</v>
      </c>
      <c r="K126" s="4" t="s">
        <v>35</v>
      </c>
      <c r="L126" s="4" t="s">
        <v>64</v>
      </c>
      <c r="M126" s="4" t="s">
        <v>162</v>
      </c>
    </row>
    <row r="127" spans="1:13" ht="15" customHeight="1">
      <c r="A127" s="4" t="s">
        <v>354</v>
      </c>
      <c r="B127" s="4" t="s">
        <v>59</v>
      </c>
      <c r="C127" s="5">
        <v>45748</v>
      </c>
      <c r="D127" s="4" t="s">
        <v>347</v>
      </c>
      <c r="E127" s="6">
        <v>6141</v>
      </c>
      <c r="F127" s="7">
        <v>3424.86</v>
      </c>
      <c r="G127" s="8">
        <v>30</v>
      </c>
      <c r="H127" s="4" t="s">
        <v>348</v>
      </c>
      <c r="I127" s="4" t="s">
        <v>62</v>
      </c>
      <c r="J127" s="4" t="s">
        <v>355</v>
      </c>
      <c r="K127" s="4" t="s">
        <v>35</v>
      </c>
      <c r="L127" s="4" t="s">
        <v>64</v>
      </c>
      <c r="M127" s="4" t="s">
        <v>124</v>
      </c>
    </row>
    <row r="128" spans="1:13" ht="15" customHeight="1">
      <c r="A128" s="4" t="s">
        <v>356</v>
      </c>
      <c r="B128" s="4" t="s">
        <v>59</v>
      </c>
      <c r="C128" s="5">
        <v>45778</v>
      </c>
      <c r="D128" s="4" t="s">
        <v>347</v>
      </c>
      <c r="E128" s="6">
        <v>7089</v>
      </c>
      <c r="F128" s="7">
        <v>3899.17</v>
      </c>
      <c r="G128" s="8">
        <v>40</v>
      </c>
      <c r="H128" s="4" t="s">
        <v>348</v>
      </c>
      <c r="I128" s="4" t="s">
        <v>62</v>
      </c>
      <c r="J128" s="4" t="s">
        <v>357</v>
      </c>
      <c r="K128" s="4" t="s">
        <v>35</v>
      </c>
      <c r="L128" s="4" t="s">
        <v>64</v>
      </c>
      <c r="M128" s="4" t="s">
        <v>162</v>
      </c>
    </row>
    <row r="129" spans="1:13" ht="15" customHeight="1">
      <c r="A129" s="4" t="s">
        <v>358</v>
      </c>
      <c r="B129" s="4" t="s">
        <v>59</v>
      </c>
      <c r="C129" s="5">
        <v>45809</v>
      </c>
      <c r="D129" s="4" t="s">
        <v>347</v>
      </c>
      <c r="E129" s="6">
        <v>6514</v>
      </c>
      <c r="F129" s="7">
        <v>3581.67</v>
      </c>
      <c r="G129" s="8">
        <v>39</v>
      </c>
      <c r="H129" s="4" t="s">
        <v>348</v>
      </c>
      <c r="I129" s="4" t="s">
        <v>62</v>
      </c>
      <c r="J129" s="4" t="s">
        <v>359</v>
      </c>
      <c r="K129" s="4" t="s">
        <v>35</v>
      </c>
      <c r="L129" s="4" t="s">
        <v>64</v>
      </c>
      <c r="M129" s="4" t="s">
        <v>162</v>
      </c>
    </row>
    <row r="130" spans="1:13" ht="15" customHeight="1">
      <c r="A130" s="4" t="s">
        <v>360</v>
      </c>
      <c r="B130" s="4" t="s">
        <v>59</v>
      </c>
      <c r="C130" s="5">
        <v>45839</v>
      </c>
      <c r="D130" s="4" t="s">
        <v>347</v>
      </c>
      <c r="E130" s="6">
        <v>7976</v>
      </c>
      <c r="F130" s="7">
        <v>4187.84</v>
      </c>
      <c r="G130" s="8">
        <v>41</v>
      </c>
      <c r="H130" s="4" t="s">
        <v>348</v>
      </c>
      <c r="I130" s="4" t="s">
        <v>62</v>
      </c>
      <c r="J130" s="4" t="s">
        <v>361</v>
      </c>
      <c r="K130" s="4" t="s">
        <v>35</v>
      </c>
      <c r="L130" s="4" t="s">
        <v>64</v>
      </c>
      <c r="M130" s="4" t="s">
        <v>141</v>
      </c>
    </row>
    <row r="131" spans="1:13" ht="15" customHeight="1">
      <c r="A131" s="4" t="s">
        <v>362</v>
      </c>
      <c r="B131" s="4" t="s">
        <v>59</v>
      </c>
      <c r="C131" s="5">
        <v>45870</v>
      </c>
      <c r="D131" s="4" t="s">
        <v>347</v>
      </c>
      <c r="E131" s="6">
        <v>6933</v>
      </c>
      <c r="F131" s="7">
        <v>3540.83</v>
      </c>
      <c r="G131" s="8">
        <v>39</v>
      </c>
      <c r="H131" s="4" t="s">
        <v>348</v>
      </c>
      <c r="I131" s="4" t="s">
        <v>62</v>
      </c>
      <c r="J131" s="4" t="s">
        <v>363</v>
      </c>
      <c r="K131" s="4" t="s">
        <v>35</v>
      </c>
      <c r="L131" s="4" t="s">
        <v>64</v>
      </c>
      <c r="M131" s="4" t="s">
        <v>130</v>
      </c>
    </row>
    <row r="132" spans="1:13" ht="15" customHeight="1">
      <c r="A132" s="4" t="s">
        <v>364</v>
      </c>
      <c r="B132" s="4" t="s">
        <v>59</v>
      </c>
      <c r="C132" s="5">
        <v>45901</v>
      </c>
      <c r="D132" s="4" t="s">
        <v>347</v>
      </c>
      <c r="E132" s="6">
        <v>6168</v>
      </c>
      <c r="F132" s="7">
        <v>3174.28</v>
      </c>
      <c r="G132" s="8">
        <v>39</v>
      </c>
      <c r="H132" s="4" t="s">
        <v>348</v>
      </c>
      <c r="I132" s="4" t="s">
        <v>62</v>
      </c>
      <c r="J132" s="4" t="s">
        <v>365</v>
      </c>
      <c r="K132" s="4" t="s">
        <v>35</v>
      </c>
      <c r="L132" s="4" t="s">
        <v>64</v>
      </c>
      <c r="M132" s="4" t="s">
        <v>130</v>
      </c>
    </row>
    <row r="133" spans="1:13" ht="15" customHeight="1">
      <c r="A133" s="4" t="s">
        <v>366</v>
      </c>
      <c r="B133" s="4" t="s">
        <v>59</v>
      </c>
      <c r="C133" s="5">
        <v>45931</v>
      </c>
      <c r="D133" s="4" t="s">
        <v>347</v>
      </c>
      <c r="E133" s="6">
        <v>6630</v>
      </c>
      <c r="F133" s="7">
        <v>3047.14</v>
      </c>
      <c r="G133" s="8">
        <v>39</v>
      </c>
      <c r="H133" s="4" t="s">
        <v>348</v>
      </c>
      <c r="I133" s="4" t="s">
        <v>62</v>
      </c>
      <c r="J133" s="4" t="s">
        <v>367</v>
      </c>
      <c r="K133" s="4" t="s">
        <v>35</v>
      </c>
      <c r="L133" s="4" t="s">
        <v>64</v>
      </c>
      <c r="M133" s="4" t="s">
        <v>141</v>
      </c>
    </row>
    <row r="134" spans="1:13" ht="15" customHeight="1">
      <c r="A134" s="4" t="s">
        <v>368</v>
      </c>
      <c r="B134" s="4" t="s">
        <v>59</v>
      </c>
      <c r="C134" s="5">
        <v>45962</v>
      </c>
      <c r="D134" s="4" t="s">
        <v>347</v>
      </c>
      <c r="E134" s="6">
        <v>6128</v>
      </c>
      <c r="F134" s="7">
        <v>2706.75</v>
      </c>
      <c r="G134" s="8">
        <v>40</v>
      </c>
      <c r="H134" s="4" t="s">
        <v>348</v>
      </c>
      <c r="I134" s="4" t="s">
        <v>62</v>
      </c>
      <c r="J134" s="4" t="s">
        <v>369</v>
      </c>
      <c r="K134" s="4" t="s">
        <v>35</v>
      </c>
      <c r="L134" s="4" t="s">
        <v>64</v>
      </c>
      <c r="M134" s="4" t="s">
        <v>370</v>
      </c>
    </row>
    <row r="135" spans="1:13" ht="15" customHeight="1">
      <c r="A135" s="4" t="s">
        <v>371</v>
      </c>
      <c r="B135" s="4" t="s">
        <v>59</v>
      </c>
      <c r="C135" s="5">
        <v>45992</v>
      </c>
      <c r="D135" s="4" t="s">
        <v>347</v>
      </c>
      <c r="E135" s="6">
        <v>5612</v>
      </c>
      <c r="F135" s="7">
        <v>2739.21</v>
      </c>
      <c r="G135" s="8">
        <v>35</v>
      </c>
      <c r="H135" s="4" t="s">
        <v>348</v>
      </c>
      <c r="I135" s="4" t="s">
        <v>62</v>
      </c>
      <c r="J135" s="4" t="s">
        <v>372</v>
      </c>
      <c r="K135" s="4" t="s">
        <v>35</v>
      </c>
      <c r="L135" s="4" t="s">
        <v>64</v>
      </c>
      <c r="M135" s="4" t="s">
        <v>373</v>
      </c>
    </row>
    <row r="136" spans="1:13" ht="15" customHeight="1">
      <c r="A136" s="4" t="s">
        <v>374</v>
      </c>
      <c r="B136" s="4" t="s">
        <v>59</v>
      </c>
      <c r="C136" s="5">
        <v>45658</v>
      </c>
      <c r="D136" s="4" t="s">
        <v>375</v>
      </c>
      <c r="E136" s="6">
        <v>7883</v>
      </c>
      <c r="F136" s="7">
        <v>4274.45</v>
      </c>
      <c r="G136" s="8">
        <v>37</v>
      </c>
      <c r="H136" s="4" t="s">
        <v>376</v>
      </c>
      <c r="I136" s="4" t="s">
        <v>62</v>
      </c>
      <c r="J136" s="4" t="s">
        <v>377</v>
      </c>
      <c r="K136" s="4" t="s">
        <v>35</v>
      </c>
      <c r="L136" s="4" t="s">
        <v>64</v>
      </c>
      <c r="M136" s="4" t="s">
        <v>127</v>
      </c>
    </row>
    <row r="137" spans="1:13" ht="15" customHeight="1">
      <c r="A137" s="4" t="s">
        <v>378</v>
      </c>
      <c r="B137" s="4" t="s">
        <v>59</v>
      </c>
      <c r="C137" s="5">
        <v>45689</v>
      </c>
      <c r="D137" s="4" t="s">
        <v>375</v>
      </c>
      <c r="E137" s="6">
        <v>7797</v>
      </c>
      <c r="F137" s="7">
        <v>4227.6499999999996</v>
      </c>
      <c r="G137" s="8">
        <v>38</v>
      </c>
      <c r="H137" s="4" t="s">
        <v>376</v>
      </c>
      <c r="I137" s="4" t="s">
        <v>62</v>
      </c>
      <c r="J137" s="4" t="s">
        <v>379</v>
      </c>
      <c r="K137" s="4" t="s">
        <v>35</v>
      </c>
      <c r="L137" s="4" t="s">
        <v>64</v>
      </c>
      <c r="M137" s="4" t="s">
        <v>127</v>
      </c>
    </row>
    <row r="138" spans="1:13" ht="15" customHeight="1">
      <c r="A138" s="4" t="s">
        <v>380</v>
      </c>
      <c r="B138" s="4" t="s">
        <v>59</v>
      </c>
      <c r="C138" s="5">
        <v>45717</v>
      </c>
      <c r="D138" s="4" t="s">
        <v>375</v>
      </c>
      <c r="E138" s="6">
        <v>7344</v>
      </c>
      <c r="F138" s="7">
        <v>3981.16</v>
      </c>
      <c r="G138" s="8">
        <v>37</v>
      </c>
      <c r="H138" s="4" t="s">
        <v>376</v>
      </c>
      <c r="I138" s="4" t="s">
        <v>62</v>
      </c>
      <c r="J138" s="4" t="s">
        <v>381</v>
      </c>
      <c r="K138" s="4" t="s">
        <v>35</v>
      </c>
      <c r="L138" s="4" t="s">
        <v>64</v>
      </c>
      <c r="M138" s="4" t="s">
        <v>124</v>
      </c>
    </row>
    <row r="139" spans="1:13" ht="15" customHeight="1">
      <c r="A139" s="4" t="s">
        <v>382</v>
      </c>
      <c r="B139" s="4" t="s">
        <v>59</v>
      </c>
      <c r="C139" s="5">
        <v>45748</v>
      </c>
      <c r="D139" s="4" t="s">
        <v>375</v>
      </c>
      <c r="E139" s="6">
        <v>7731</v>
      </c>
      <c r="F139" s="7">
        <v>4191.74</v>
      </c>
      <c r="G139" s="8"/>
      <c r="H139" s="4" t="s">
        <v>376</v>
      </c>
      <c r="I139" s="4" t="s">
        <v>383</v>
      </c>
      <c r="J139" s="4" t="s">
        <v>384</v>
      </c>
      <c r="K139" s="4" t="s">
        <v>39</v>
      </c>
      <c r="L139" s="4" t="s">
        <v>385</v>
      </c>
      <c r="M139" s="4" t="s">
        <v>386</v>
      </c>
    </row>
    <row r="140" spans="1:13" ht="15" customHeight="1">
      <c r="A140" s="4" t="s">
        <v>387</v>
      </c>
      <c r="B140" s="4" t="s">
        <v>59</v>
      </c>
      <c r="C140" s="5">
        <v>45778</v>
      </c>
      <c r="D140" s="4" t="s">
        <v>375</v>
      </c>
      <c r="E140" s="6">
        <v>6597</v>
      </c>
      <c r="F140" s="7">
        <v>-632.62</v>
      </c>
      <c r="G140" s="8">
        <v>38</v>
      </c>
      <c r="H140" s="4" t="s">
        <v>376</v>
      </c>
      <c r="I140" s="4" t="s">
        <v>62</v>
      </c>
      <c r="J140" s="4" t="s">
        <v>388</v>
      </c>
      <c r="K140" s="4" t="s">
        <v>35</v>
      </c>
      <c r="L140" s="4" t="s">
        <v>64</v>
      </c>
      <c r="M140" s="4" t="s">
        <v>389</v>
      </c>
    </row>
    <row r="141" spans="1:13" ht="15" customHeight="1">
      <c r="A141" s="4" t="s">
        <v>390</v>
      </c>
      <c r="B141" s="4" t="s">
        <v>59</v>
      </c>
      <c r="C141" s="5">
        <v>45809</v>
      </c>
      <c r="D141" s="4" t="s">
        <v>375</v>
      </c>
      <c r="E141" s="6">
        <v>7431</v>
      </c>
      <c r="F141" s="7">
        <v>4028.5</v>
      </c>
      <c r="G141" s="8">
        <v>37</v>
      </c>
      <c r="H141" s="4" t="s">
        <v>376</v>
      </c>
      <c r="I141" s="4" t="s">
        <v>62</v>
      </c>
      <c r="J141" s="4" t="s">
        <v>391</v>
      </c>
      <c r="K141" s="4" t="s">
        <v>35</v>
      </c>
      <c r="L141" s="4" t="s">
        <v>64</v>
      </c>
      <c r="M141" s="4" t="s">
        <v>392</v>
      </c>
    </row>
    <row r="142" spans="1:13" ht="15" customHeight="1">
      <c r="A142" s="4" t="s">
        <v>393</v>
      </c>
      <c r="B142" s="4" t="s">
        <v>59</v>
      </c>
      <c r="C142" s="5">
        <v>45839</v>
      </c>
      <c r="D142" s="4" t="s">
        <v>375</v>
      </c>
      <c r="E142" s="6">
        <v>9226</v>
      </c>
      <c r="F142" s="7">
        <v>4770.55</v>
      </c>
      <c r="G142" s="8">
        <v>37</v>
      </c>
      <c r="H142" s="4" t="s">
        <v>376</v>
      </c>
      <c r="I142" s="4" t="s">
        <v>62</v>
      </c>
      <c r="J142" s="4" t="s">
        <v>394</v>
      </c>
      <c r="K142" s="4" t="s">
        <v>35</v>
      </c>
      <c r="L142" s="4" t="s">
        <v>64</v>
      </c>
      <c r="M142" s="4" t="s">
        <v>127</v>
      </c>
    </row>
    <row r="143" spans="1:13" ht="15" customHeight="1">
      <c r="A143" s="4" t="s">
        <v>395</v>
      </c>
      <c r="B143" s="4" t="s">
        <v>59</v>
      </c>
      <c r="C143" s="5">
        <v>45870</v>
      </c>
      <c r="D143" s="4" t="s">
        <v>375</v>
      </c>
      <c r="E143" s="6">
        <v>7724</v>
      </c>
      <c r="F143" s="7">
        <v>3885.16</v>
      </c>
      <c r="G143" s="8">
        <v>37</v>
      </c>
      <c r="H143" s="4" t="s">
        <v>376</v>
      </c>
      <c r="I143" s="4" t="s">
        <v>62</v>
      </c>
      <c r="J143" s="4" t="s">
        <v>396</v>
      </c>
      <c r="K143" s="4" t="s">
        <v>35</v>
      </c>
      <c r="L143" s="4" t="s">
        <v>64</v>
      </c>
      <c r="M143" s="4" t="s">
        <v>124</v>
      </c>
    </row>
    <row r="144" spans="1:13" ht="15" customHeight="1">
      <c r="A144" s="4" t="s">
        <v>397</v>
      </c>
      <c r="B144" s="4" t="s">
        <v>59</v>
      </c>
      <c r="C144" s="5">
        <v>45901</v>
      </c>
      <c r="D144" s="4" t="s">
        <v>375</v>
      </c>
      <c r="E144" s="6">
        <v>7110</v>
      </c>
      <c r="F144" s="7">
        <v>3602.78</v>
      </c>
      <c r="G144" s="8">
        <v>37</v>
      </c>
      <c r="H144" s="4" t="s">
        <v>376</v>
      </c>
      <c r="I144" s="4" t="s">
        <v>62</v>
      </c>
      <c r="J144" s="4" t="s">
        <v>398</v>
      </c>
      <c r="K144" s="4" t="s">
        <v>35</v>
      </c>
      <c r="L144" s="4" t="s">
        <v>64</v>
      </c>
      <c r="M144" s="4" t="s">
        <v>399</v>
      </c>
    </row>
    <row r="145" spans="1:13" ht="15" customHeight="1">
      <c r="A145" s="4" t="s">
        <v>400</v>
      </c>
      <c r="B145" s="4" t="s">
        <v>59</v>
      </c>
      <c r="C145" s="5">
        <v>45931</v>
      </c>
      <c r="D145" s="4" t="s">
        <v>375</v>
      </c>
      <c r="E145" s="6">
        <v>8182</v>
      </c>
      <c r="F145" s="7">
        <v>3701.15</v>
      </c>
      <c r="G145" s="8">
        <v>38</v>
      </c>
      <c r="H145" s="4" t="s">
        <v>376</v>
      </c>
      <c r="I145" s="4" t="s">
        <v>62</v>
      </c>
      <c r="J145" s="4" t="s">
        <v>401</v>
      </c>
      <c r="K145" s="4" t="s">
        <v>35</v>
      </c>
      <c r="L145" s="4" t="s">
        <v>64</v>
      </c>
      <c r="M145" s="4" t="s">
        <v>370</v>
      </c>
    </row>
    <row r="146" spans="1:13" ht="15" customHeight="1">
      <c r="A146" s="4" t="s">
        <v>402</v>
      </c>
      <c r="B146" s="4" t="s">
        <v>59</v>
      </c>
      <c r="C146" s="5">
        <v>45962</v>
      </c>
      <c r="D146" s="4" t="s">
        <v>375</v>
      </c>
      <c r="E146" s="6">
        <v>7038</v>
      </c>
      <c r="F146" s="7">
        <v>3016.84</v>
      </c>
      <c r="G146" s="8">
        <v>37</v>
      </c>
      <c r="H146" s="4" t="s">
        <v>376</v>
      </c>
      <c r="I146" s="4" t="s">
        <v>62</v>
      </c>
      <c r="J146" s="4" t="s">
        <v>403</v>
      </c>
      <c r="K146" s="4" t="s">
        <v>35</v>
      </c>
      <c r="L146" s="4" t="s">
        <v>64</v>
      </c>
      <c r="M146" s="4" t="s">
        <v>404</v>
      </c>
    </row>
    <row r="147" spans="1:13" ht="15" customHeight="1">
      <c r="A147" s="4" t="s">
        <v>405</v>
      </c>
      <c r="B147" s="4" t="s">
        <v>59</v>
      </c>
      <c r="C147" s="5">
        <v>45992</v>
      </c>
      <c r="D147" s="4" t="s">
        <v>375</v>
      </c>
      <c r="E147" s="6">
        <v>7362</v>
      </c>
      <c r="F147" s="7">
        <v>3340.58</v>
      </c>
      <c r="G147" s="8">
        <v>36</v>
      </c>
      <c r="H147" s="4" t="s">
        <v>376</v>
      </c>
      <c r="I147" s="4" t="s">
        <v>62</v>
      </c>
      <c r="J147" s="4" t="s">
        <v>406</v>
      </c>
      <c r="K147" s="4" t="s">
        <v>35</v>
      </c>
      <c r="L147" s="4" t="s">
        <v>64</v>
      </c>
      <c r="M147" s="4" t="s">
        <v>407</v>
      </c>
    </row>
    <row r="148" spans="1:13" ht="15" customHeight="1">
      <c r="A148" s="4" t="s">
        <v>408</v>
      </c>
      <c r="B148" s="4" t="s">
        <v>59</v>
      </c>
      <c r="C148" s="5">
        <v>45658</v>
      </c>
      <c r="D148" s="4" t="s">
        <v>409</v>
      </c>
      <c r="E148" s="6">
        <v>6139</v>
      </c>
      <c r="F148" s="7">
        <v>3325.46</v>
      </c>
      <c r="G148" s="8">
        <v>38</v>
      </c>
      <c r="H148" s="4" t="s">
        <v>410</v>
      </c>
      <c r="I148" s="4" t="s">
        <v>62</v>
      </c>
      <c r="J148" s="4" t="s">
        <v>411</v>
      </c>
      <c r="K148" s="4" t="s">
        <v>35</v>
      </c>
      <c r="L148" s="4" t="s">
        <v>64</v>
      </c>
      <c r="M148" s="4" t="s">
        <v>124</v>
      </c>
    </row>
    <row r="149" spans="1:13" ht="15" customHeight="1">
      <c r="A149" s="4" t="s">
        <v>412</v>
      </c>
      <c r="B149" s="4" t="s">
        <v>59</v>
      </c>
      <c r="C149" s="5">
        <v>45689</v>
      </c>
      <c r="D149" s="4" t="s">
        <v>409</v>
      </c>
      <c r="E149" s="6">
        <v>6501</v>
      </c>
      <c r="F149" s="7">
        <v>3522.45</v>
      </c>
      <c r="G149" s="8">
        <v>39</v>
      </c>
      <c r="H149" s="4" t="s">
        <v>410</v>
      </c>
      <c r="I149" s="4" t="s">
        <v>62</v>
      </c>
      <c r="J149" s="4" t="s">
        <v>413</v>
      </c>
      <c r="K149" s="4" t="s">
        <v>35</v>
      </c>
      <c r="L149" s="4" t="s">
        <v>64</v>
      </c>
      <c r="M149" s="4" t="s">
        <v>127</v>
      </c>
    </row>
    <row r="150" spans="1:13" ht="15" customHeight="1">
      <c r="A150" s="4" t="s">
        <v>414</v>
      </c>
      <c r="B150" s="4" t="s">
        <v>59</v>
      </c>
      <c r="C150" s="5">
        <v>45717</v>
      </c>
      <c r="D150" s="4" t="s">
        <v>409</v>
      </c>
      <c r="E150" s="6">
        <v>5959</v>
      </c>
      <c r="F150" s="7">
        <v>3227.51</v>
      </c>
      <c r="G150" s="8">
        <v>38</v>
      </c>
      <c r="H150" s="4" t="s">
        <v>410</v>
      </c>
      <c r="I150" s="4" t="s">
        <v>62</v>
      </c>
      <c r="J150" s="4" t="s">
        <v>415</v>
      </c>
      <c r="K150" s="4" t="s">
        <v>35</v>
      </c>
      <c r="L150" s="4" t="s">
        <v>64</v>
      </c>
      <c r="M150" s="4" t="s">
        <v>124</v>
      </c>
    </row>
    <row r="151" spans="1:13" ht="15" customHeight="1">
      <c r="A151" s="4" t="s">
        <v>416</v>
      </c>
      <c r="B151" s="4" t="s">
        <v>59</v>
      </c>
      <c r="C151" s="5">
        <v>45748</v>
      </c>
      <c r="D151" s="4" t="s">
        <v>409</v>
      </c>
      <c r="E151" s="6">
        <v>7061</v>
      </c>
      <c r="F151" s="7">
        <v>3827.17</v>
      </c>
      <c r="G151" s="8">
        <v>37</v>
      </c>
      <c r="H151" s="4" t="s">
        <v>410</v>
      </c>
      <c r="I151" s="4" t="s">
        <v>62</v>
      </c>
      <c r="J151" s="4" t="s">
        <v>417</v>
      </c>
      <c r="K151" s="4" t="s">
        <v>35</v>
      </c>
      <c r="L151" s="4" t="s">
        <v>64</v>
      </c>
      <c r="M151" s="4" t="s">
        <v>162</v>
      </c>
    </row>
    <row r="152" spans="1:13" ht="15" customHeight="1">
      <c r="A152" s="4" t="s">
        <v>418</v>
      </c>
      <c r="B152" s="4" t="s">
        <v>59</v>
      </c>
      <c r="C152" s="5">
        <v>45778</v>
      </c>
      <c r="D152" s="4" t="s">
        <v>409</v>
      </c>
      <c r="E152" s="6">
        <v>7047</v>
      </c>
      <c r="F152" s="7">
        <v>3819.54</v>
      </c>
      <c r="G152" s="8">
        <v>40</v>
      </c>
      <c r="H152" s="4" t="s">
        <v>410</v>
      </c>
      <c r="I152" s="4" t="s">
        <v>62</v>
      </c>
      <c r="J152" s="4" t="s">
        <v>419</v>
      </c>
      <c r="K152" s="4" t="s">
        <v>35</v>
      </c>
      <c r="L152" s="4" t="s">
        <v>64</v>
      </c>
      <c r="M152" s="4" t="s">
        <v>141</v>
      </c>
    </row>
    <row r="153" spans="1:13" ht="15" customHeight="1">
      <c r="A153" s="4" t="s">
        <v>420</v>
      </c>
      <c r="B153" s="4" t="s">
        <v>59</v>
      </c>
      <c r="C153" s="5">
        <v>45809</v>
      </c>
      <c r="D153" s="4" t="s">
        <v>409</v>
      </c>
      <c r="E153" s="6">
        <v>6095</v>
      </c>
      <c r="F153" s="7">
        <v>3301.53</v>
      </c>
      <c r="G153" s="8">
        <v>40</v>
      </c>
      <c r="H153" s="4" t="s">
        <v>410</v>
      </c>
      <c r="I153" s="4" t="s">
        <v>62</v>
      </c>
      <c r="J153" s="4" t="s">
        <v>421</v>
      </c>
      <c r="K153" s="4" t="s">
        <v>35</v>
      </c>
      <c r="L153" s="4" t="s">
        <v>64</v>
      </c>
      <c r="M153" s="4" t="s">
        <v>130</v>
      </c>
    </row>
    <row r="154" spans="1:13" ht="15" customHeight="1">
      <c r="A154" s="4" t="s">
        <v>422</v>
      </c>
      <c r="B154" s="4" t="s">
        <v>59</v>
      </c>
      <c r="C154" s="5">
        <v>45839</v>
      </c>
      <c r="D154" s="4" t="s">
        <v>409</v>
      </c>
      <c r="E154" s="6">
        <v>7743</v>
      </c>
      <c r="F154" s="7">
        <v>4006.94</v>
      </c>
      <c r="G154" s="8">
        <v>38</v>
      </c>
      <c r="H154" s="4" t="s">
        <v>410</v>
      </c>
      <c r="I154" s="4" t="s">
        <v>62</v>
      </c>
      <c r="J154" s="4" t="s">
        <v>423</v>
      </c>
      <c r="K154" s="4" t="s">
        <v>35</v>
      </c>
      <c r="L154" s="4" t="s">
        <v>64</v>
      </c>
      <c r="M154" s="4" t="s">
        <v>141</v>
      </c>
    </row>
    <row r="155" spans="1:13" ht="15" customHeight="1">
      <c r="A155" s="4" t="s">
        <v>424</v>
      </c>
      <c r="B155" s="4" t="s">
        <v>59</v>
      </c>
      <c r="C155" s="5">
        <v>45870</v>
      </c>
      <c r="D155" s="4" t="s">
        <v>409</v>
      </c>
      <c r="E155" s="6">
        <v>6896</v>
      </c>
      <c r="F155" s="7">
        <v>3470.83</v>
      </c>
      <c r="G155" s="8">
        <v>40</v>
      </c>
      <c r="H155" s="4" t="s">
        <v>410</v>
      </c>
      <c r="I155" s="4" t="s">
        <v>62</v>
      </c>
      <c r="J155" s="4" t="s">
        <v>425</v>
      </c>
      <c r="K155" s="4" t="s">
        <v>35</v>
      </c>
      <c r="L155" s="4" t="s">
        <v>64</v>
      </c>
      <c r="M155" s="4" t="s">
        <v>130</v>
      </c>
    </row>
    <row r="156" spans="1:13" ht="15" customHeight="1">
      <c r="A156" s="4" t="s">
        <v>426</v>
      </c>
      <c r="B156" s="4" t="s">
        <v>59</v>
      </c>
      <c r="C156" s="5">
        <v>45901</v>
      </c>
      <c r="D156" s="4" t="s">
        <v>409</v>
      </c>
      <c r="E156" s="6">
        <v>6480</v>
      </c>
      <c r="F156" s="7">
        <v>3285.32</v>
      </c>
      <c r="G156" s="8">
        <v>40</v>
      </c>
      <c r="H156" s="4" t="s">
        <v>410</v>
      </c>
      <c r="I156" s="4" t="s">
        <v>62</v>
      </c>
      <c r="J156" s="4" t="s">
        <v>427</v>
      </c>
      <c r="K156" s="4" t="s">
        <v>35</v>
      </c>
      <c r="L156" s="4" t="s">
        <v>64</v>
      </c>
      <c r="M156" s="4" t="s">
        <v>162</v>
      </c>
    </row>
    <row r="157" spans="1:13" ht="15" customHeight="1">
      <c r="A157" s="4" t="s">
        <v>428</v>
      </c>
      <c r="B157" s="4" t="s">
        <v>59</v>
      </c>
      <c r="C157" s="5">
        <v>45931</v>
      </c>
      <c r="D157" s="4" t="s">
        <v>409</v>
      </c>
      <c r="E157" s="6">
        <v>7660</v>
      </c>
      <c r="F157" s="7">
        <v>3466.3</v>
      </c>
      <c r="G157" s="8">
        <v>40</v>
      </c>
      <c r="H157" s="4" t="s">
        <v>410</v>
      </c>
      <c r="I157" s="4" t="s">
        <v>62</v>
      </c>
      <c r="J157" s="4" t="s">
        <v>429</v>
      </c>
      <c r="K157" s="4" t="s">
        <v>35</v>
      </c>
      <c r="L157" s="4" t="s">
        <v>64</v>
      </c>
      <c r="M157" s="4" t="s">
        <v>127</v>
      </c>
    </row>
    <row r="158" spans="1:13" ht="15" customHeight="1">
      <c r="A158" s="4" t="s">
        <v>430</v>
      </c>
      <c r="B158" s="4" t="s">
        <v>59</v>
      </c>
      <c r="C158" s="5">
        <v>45962</v>
      </c>
      <c r="D158" s="4" t="s">
        <v>409</v>
      </c>
      <c r="E158" s="6">
        <v>6510</v>
      </c>
      <c r="F158" s="7">
        <v>2792.01</v>
      </c>
      <c r="G158" s="8">
        <v>39</v>
      </c>
      <c r="H158" s="4" t="s">
        <v>410</v>
      </c>
      <c r="I158" s="4" t="s">
        <v>62</v>
      </c>
      <c r="J158" s="4" t="s">
        <v>431</v>
      </c>
      <c r="K158" s="4" t="s">
        <v>35</v>
      </c>
      <c r="L158" s="4" t="s">
        <v>64</v>
      </c>
      <c r="M158" s="4" t="s">
        <v>205</v>
      </c>
    </row>
    <row r="159" spans="1:13" ht="15" customHeight="1">
      <c r="A159" s="4" t="s">
        <v>432</v>
      </c>
      <c r="B159" s="4" t="s">
        <v>59</v>
      </c>
      <c r="C159" s="5">
        <v>45992</v>
      </c>
      <c r="D159" s="4" t="s">
        <v>409</v>
      </c>
      <c r="E159" s="6">
        <v>6790</v>
      </c>
      <c r="F159" s="7">
        <v>3082.63</v>
      </c>
      <c r="G159" s="8">
        <v>38</v>
      </c>
      <c r="H159" s="4" t="s">
        <v>410</v>
      </c>
      <c r="I159" s="4" t="s">
        <v>62</v>
      </c>
      <c r="J159" s="4" t="s">
        <v>433</v>
      </c>
      <c r="K159" s="4" t="s">
        <v>35</v>
      </c>
      <c r="L159" s="4" t="s">
        <v>64</v>
      </c>
      <c r="M159" s="4" t="s">
        <v>434</v>
      </c>
    </row>
    <row r="160" spans="1:13" ht="15" customHeight="1">
      <c r="A160" s="4" t="s">
        <v>435</v>
      </c>
      <c r="B160" s="4" t="s">
        <v>59</v>
      </c>
      <c r="C160" s="5">
        <v>45658</v>
      </c>
      <c r="D160" s="4" t="s">
        <v>436</v>
      </c>
      <c r="E160" s="6">
        <v>6077</v>
      </c>
      <c r="F160" s="7">
        <v>3534.91</v>
      </c>
      <c r="G160" s="8">
        <v>31</v>
      </c>
      <c r="H160" s="4" t="s">
        <v>437</v>
      </c>
      <c r="I160" s="4" t="s">
        <v>62</v>
      </c>
      <c r="J160" s="4" t="s">
        <v>438</v>
      </c>
      <c r="K160" s="4" t="s">
        <v>35</v>
      </c>
      <c r="L160" s="4" t="s">
        <v>64</v>
      </c>
      <c r="M160" s="4" t="s">
        <v>95</v>
      </c>
    </row>
    <row r="161" spans="1:13" ht="15" customHeight="1">
      <c r="A161" s="4" t="s">
        <v>439</v>
      </c>
      <c r="B161" s="4" t="s">
        <v>59</v>
      </c>
      <c r="C161" s="5">
        <v>45689</v>
      </c>
      <c r="D161" s="4" t="s">
        <v>436</v>
      </c>
      <c r="E161" s="6">
        <v>5944</v>
      </c>
      <c r="F161" s="7">
        <v>3457.2</v>
      </c>
      <c r="G161" s="8">
        <v>31</v>
      </c>
      <c r="H161" s="4" t="s">
        <v>437</v>
      </c>
      <c r="I161" s="4" t="s">
        <v>62</v>
      </c>
      <c r="J161" s="4" t="s">
        <v>440</v>
      </c>
      <c r="K161" s="4" t="s">
        <v>35</v>
      </c>
      <c r="L161" s="4" t="s">
        <v>64</v>
      </c>
      <c r="M161" s="4" t="s">
        <v>68</v>
      </c>
    </row>
    <row r="162" spans="1:13" ht="15" customHeight="1">
      <c r="A162" s="4" t="s">
        <v>441</v>
      </c>
      <c r="B162" s="4" t="s">
        <v>59</v>
      </c>
      <c r="C162" s="5">
        <v>45717</v>
      </c>
      <c r="D162" s="4" t="s">
        <v>436</v>
      </c>
      <c r="E162" s="6">
        <v>5630</v>
      </c>
      <c r="F162" s="7">
        <v>3228.66</v>
      </c>
      <c r="G162" s="8">
        <v>32</v>
      </c>
      <c r="H162" s="4" t="s">
        <v>437</v>
      </c>
      <c r="I162" s="4" t="s">
        <v>62</v>
      </c>
      <c r="J162" s="4" t="s">
        <v>442</v>
      </c>
      <c r="K162" s="4" t="s">
        <v>35</v>
      </c>
      <c r="L162" s="4" t="s">
        <v>64</v>
      </c>
      <c r="M162" s="4" t="s">
        <v>95</v>
      </c>
    </row>
    <row r="163" spans="1:13" ht="15" customHeight="1">
      <c r="A163" s="4" t="s">
        <v>443</v>
      </c>
      <c r="B163" s="4" t="s">
        <v>59</v>
      </c>
      <c r="C163" s="5">
        <v>45748</v>
      </c>
      <c r="D163" s="4" t="s">
        <v>436</v>
      </c>
      <c r="E163" s="6">
        <v>6243</v>
      </c>
      <c r="F163" s="7">
        <v>3581.95</v>
      </c>
      <c r="G163" s="8">
        <v>32</v>
      </c>
      <c r="H163" s="4" t="s">
        <v>437</v>
      </c>
      <c r="I163" s="4" t="s">
        <v>62</v>
      </c>
      <c r="J163" s="4" t="s">
        <v>444</v>
      </c>
      <c r="K163" s="4" t="s">
        <v>35</v>
      </c>
      <c r="L163" s="4" t="s">
        <v>64</v>
      </c>
      <c r="M163" s="4" t="s">
        <v>68</v>
      </c>
    </row>
    <row r="164" spans="1:13" ht="15" customHeight="1">
      <c r="A164" s="4" t="s">
        <v>445</v>
      </c>
      <c r="B164" s="4" t="s">
        <v>59</v>
      </c>
      <c r="C164" s="5">
        <v>45778</v>
      </c>
      <c r="D164" s="4" t="s">
        <v>436</v>
      </c>
      <c r="E164" s="6">
        <v>6299</v>
      </c>
      <c r="F164" s="7">
        <v>3614.21</v>
      </c>
      <c r="G164" s="8">
        <v>32</v>
      </c>
      <c r="H164" s="4" t="s">
        <v>437</v>
      </c>
      <c r="I164" s="4" t="s">
        <v>62</v>
      </c>
      <c r="J164" s="4" t="s">
        <v>446</v>
      </c>
      <c r="K164" s="4" t="s">
        <v>35</v>
      </c>
      <c r="L164" s="4" t="s">
        <v>64</v>
      </c>
      <c r="M164" s="4" t="s">
        <v>95</v>
      </c>
    </row>
    <row r="165" spans="1:13" ht="15" customHeight="1">
      <c r="A165" s="4" t="s">
        <v>447</v>
      </c>
      <c r="B165" s="4" t="s">
        <v>59</v>
      </c>
      <c r="C165" s="5">
        <v>45809</v>
      </c>
      <c r="D165" s="4" t="s">
        <v>436</v>
      </c>
      <c r="E165" s="6">
        <v>5939</v>
      </c>
      <c r="F165" s="7">
        <v>3406.74</v>
      </c>
      <c r="G165" s="8">
        <v>31</v>
      </c>
      <c r="H165" s="4" t="s">
        <v>437</v>
      </c>
      <c r="I165" s="4" t="s">
        <v>62</v>
      </c>
      <c r="J165" s="4" t="s">
        <v>448</v>
      </c>
      <c r="K165" s="4" t="s">
        <v>35</v>
      </c>
      <c r="L165" s="4" t="s">
        <v>64</v>
      </c>
      <c r="M165" s="4" t="s">
        <v>95</v>
      </c>
    </row>
    <row r="166" spans="1:13" ht="15" customHeight="1">
      <c r="A166" s="4" t="s">
        <v>449</v>
      </c>
      <c r="B166" s="4" t="s">
        <v>59</v>
      </c>
      <c r="C166" s="5">
        <v>45839</v>
      </c>
      <c r="D166" s="4" t="s">
        <v>436</v>
      </c>
      <c r="E166" s="6">
        <v>7479</v>
      </c>
      <c r="F166" s="7">
        <v>4099.63</v>
      </c>
      <c r="G166" s="8">
        <v>32</v>
      </c>
      <c r="H166" s="4" t="s">
        <v>437</v>
      </c>
      <c r="I166" s="4" t="s">
        <v>62</v>
      </c>
      <c r="J166" s="4" t="s">
        <v>450</v>
      </c>
      <c r="K166" s="4" t="s">
        <v>35</v>
      </c>
      <c r="L166" s="4" t="s">
        <v>64</v>
      </c>
      <c r="M166" s="4" t="s">
        <v>100</v>
      </c>
    </row>
    <row r="167" spans="1:13" ht="15" customHeight="1">
      <c r="A167" s="4" t="s">
        <v>451</v>
      </c>
      <c r="B167" s="4" t="s">
        <v>59</v>
      </c>
      <c r="C167" s="5">
        <v>45870</v>
      </c>
      <c r="D167" s="4" t="s">
        <v>436</v>
      </c>
      <c r="E167" s="6">
        <v>6283</v>
      </c>
      <c r="F167" s="7">
        <v>3397.55</v>
      </c>
      <c r="G167" s="8">
        <v>31</v>
      </c>
      <c r="H167" s="4" t="s">
        <v>437</v>
      </c>
      <c r="I167" s="4" t="s">
        <v>62</v>
      </c>
      <c r="J167" s="4" t="s">
        <v>452</v>
      </c>
      <c r="K167" s="4" t="s">
        <v>35</v>
      </c>
      <c r="L167" s="4" t="s">
        <v>64</v>
      </c>
      <c r="M167" s="4" t="s">
        <v>68</v>
      </c>
    </row>
    <row r="168" spans="1:13" ht="15" customHeight="1">
      <c r="A168" s="4" t="s">
        <v>453</v>
      </c>
      <c r="B168" s="4" t="s">
        <v>59</v>
      </c>
      <c r="C168" s="5">
        <v>45901</v>
      </c>
      <c r="D168" s="4" t="s">
        <v>436</v>
      </c>
      <c r="E168" s="6">
        <v>5540</v>
      </c>
      <c r="F168" s="7">
        <v>2977.65</v>
      </c>
      <c r="G168" s="8">
        <v>32</v>
      </c>
      <c r="H168" s="4" t="s">
        <v>437</v>
      </c>
      <c r="I168" s="4" t="s">
        <v>62</v>
      </c>
      <c r="J168" s="4" t="s">
        <v>454</v>
      </c>
      <c r="K168" s="4" t="s">
        <v>35</v>
      </c>
      <c r="L168" s="4" t="s">
        <v>64</v>
      </c>
      <c r="M168" s="4" t="s">
        <v>68</v>
      </c>
    </row>
    <row r="169" spans="1:13" ht="15" customHeight="1">
      <c r="A169" s="4" t="s">
        <v>455</v>
      </c>
      <c r="B169" s="4" t="s">
        <v>59</v>
      </c>
      <c r="C169" s="5">
        <v>45931</v>
      </c>
      <c r="D169" s="4" t="s">
        <v>436</v>
      </c>
      <c r="E169" s="6">
        <v>6011</v>
      </c>
      <c r="F169" s="7">
        <v>2925.06</v>
      </c>
      <c r="G169" s="8">
        <v>31</v>
      </c>
      <c r="H169" s="4" t="s">
        <v>437</v>
      </c>
      <c r="I169" s="4" t="s">
        <v>62</v>
      </c>
      <c r="J169" s="4" t="s">
        <v>456</v>
      </c>
      <c r="K169" s="4" t="s">
        <v>35</v>
      </c>
      <c r="L169" s="4" t="s">
        <v>64</v>
      </c>
      <c r="M169" s="4" t="s">
        <v>457</v>
      </c>
    </row>
    <row r="170" spans="1:13" ht="15" customHeight="1">
      <c r="A170" s="4" t="s">
        <v>458</v>
      </c>
      <c r="B170" s="4" t="s">
        <v>59</v>
      </c>
      <c r="C170" s="5">
        <v>45962</v>
      </c>
      <c r="D170" s="4" t="s">
        <v>436</v>
      </c>
      <c r="E170" s="6">
        <v>6042</v>
      </c>
      <c r="F170" s="7">
        <v>2848.46</v>
      </c>
      <c r="G170" s="8">
        <v>31</v>
      </c>
      <c r="H170" s="4" t="s">
        <v>437</v>
      </c>
      <c r="I170" s="4" t="s">
        <v>62</v>
      </c>
      <c r="J170" s="4" t="s">
        <v>459</v>
      </c>
      <c r="K170" s="4" t="s">
        <v>35</v>
      </c>
      <c r="L170" s="4" t="s">
        <v>64</v>
      </c>
      <c r="M170" s="4" t="s">
        <v>460</v>
      </c>
    </row>
    <row r="171" spans="1:13" ht="15" customHeight="1">
      <c r="A171" s="4" t="s">
        <v>461</v>
      </c>
      <c r="B171" s="4" t="s">
        <v>59</v>
      </c>
      <c r="C171" s="5">
        <v>45992</v>
      </c>
      <c r="D171" s="4" t="s">
        <v>436</v>
      </c>
      <c r="E171" s="6">
        <v>6255</v>
      </c>
      <c r="F171" s="7">
        <v>3097.04</v>
      </c>
      <c r="G171" s="8">
        <v>30</v>
      </c>
      <c r="H171" s="4" t="s">
        <v>437</v>
      </c>
      <c r="I171" s="4" t="s">
        <v>62</v>
      </c>
      <c r="J171" s="4" t="s">
        <v>462</v>
      </c>
      <c r="K171" s="4" t="s">
        <v>35</v>
      </c>
      <c r="L171" s="4" t="s">
        <v>64</v>
      </c>
      <c r="M171" s="4" t="s">
        <v>463</v>
      </c>
    </row>
    <row r="172" spans="1:13" ht="15" customHeight="1">
      <c r="A172" s="4" t="s">
        <v>464</v>
      </c>
      <c r="B172" s="4" t="s">
        <v>59</v>
      </c>
      <c r="C172" s="5">
        <v>45658</v>
      </c>
      <c r="D172" s="4" t="s">
        <v>465</v>
      </c>
      <c r="E172" s="6">
        <v>4817</v>
      </c>
      <c r="F172" s="7">
        <v>2837.14</v>
      </c>
      <c r="G172" s="8">
        <v>26</v>
      </c>
      <c r="H172" s="4" t="s">
        <v>466</v>
      </c>
      <c r="I172" s="4" t="s">
        <v>62</v>
      </c>
      <c r="J172" s="4" t="s">
        <v>467</v>
      </c>
      <c r="K172" s="4" t="s">
        <v>35</v>
      </c>
      <c r="L172" s="4" t="s">
        <v>64</v>
      </c>
      <c r="M172" s="4" t="s">
        <v>141</v>
      </c>
    </row>
    <row r="173" spans="1:13" ht="15" customHeight="1">
      <c r="A173" s="4" t="s">
        <v>468</v>
      </c>
      <c r="B173" s="4" t="s">
        <v>59</v>
      </c>
      <c r="C173" s="5">
        <v>45689</v>
      </c>
      <c r="D173" s="4" t="s">
        <v>465</v>
      </c>
      <c r="E173" s="6">
        <v>4543</v>
      </c>
      <c r="F173" s="7">
        <v>2638.53</v>
      </c>
      <c r="G173" s="8">
        <v>24</v>
      </c>
      <c r="H173" s="4" t="s">
        <v>466</v>
      </c>
      <c r="I173" s="4" t="s">
        <v>62</v>
      </c>
      <c r="J173" s="4" t="s">
        <v>469</v>
      </c>
      <c r="K173" s="4" t="s">
        <v>35</v>
      </c>
      <c r="L173" s="4" t="s">
        <v>64</v>
      </c>
      <c r="M173" s="4" t="s">
        <v>130</v>
      </c>
    </row>
    <row r="174" spans="1:13" ht="15" customHeight="1">
      <c r="A174" s="4" t="s">
        <v>470</v>
      </c>
      <c r="B174" s="4" t="s">
        <v>59</v>
      </c>
      <c r="C174" s="5">
        <v>45717</v>
      </c>
      <c r="D174" s="4" t="s">
        <v>465</v>
      </c>
      <c r="E174" s="6">
        <v>4269</v>
      </c>
      <c r="F174" s="7">
        <v>2478.41</v>
      </c>
      <c r="G174" s="8">
        <v>27</v>
      </c>
      <c r="H174" s="4" t="s">
        <v>466</v>
      </c>
      <c r="I174" s="4" t="s">
        <v>62</v>
      </c>
      <c r="J174" s="4" t="s">
        <v>471</v>
      </c>
      <c r="K174" s="4" t="s">
        <v>35</v>
      </c>
      <c r="L174" s="4" t="s">
        <v>64</v>
      </c>
      <c r="M174" s="4" t="s">
        <v>124</v>
      </c>
    </row>
    <row r="175" spans="1:13" ht="15" customHeight="1">
      <c r="A175" s="4" t="s">
        <v>472</v>
      </c>
      <c r="B175" s="4" t="s">
        <v>59</v>
      </c>
      <c r="C175" s="5">
        <v>45748</v>
      </c>
      <c r="D175" s="4" t="s">
        <v>465</v>
      </c>
      <c r="E175" s="6">
        <v>5434</v>
      </c>
      <c r="F175" s="7">
        <v>3159.19</v>
      </c>
      <c r="G175" s="8">
        <v>25</v>
      </c>
      <c r="H175" s="4" t="s">
        <v>466</v>
      </c>
      <c r="I175" s="4" t="s">
        <v>62</v>
      </c>
      <c r="J175" s="4" t="s">
        <v>473</v>
      </c>
      <c r="K175" s="4" t="s">
        <v>35</v>
      </c>
      <c r="L175" s="4" t="s">
        <v>64</v>
      </c>
      <c r="M175" s="4" t="s">
        <v>141</v>
      </c>
    </row>
    <row r="176" spans="1:13" ht="15" customHeight="1">
      <c r="A176" s="4" t="s">
        <v>474</v>
      </c>
      <c r="B176" s="4" t="s">
        <v>59</v>
      </c>
      <c r="C176" s="5">
        <v>45778</v>
      </c>
      <c r="D176" s="4" t="s">
        <v>465</v>
      </c>
      <c r="E176" s="6">
        <v>5613</v>
      </c>
      <c r="F176" s="7">
        <v>3263.78</v>
      </c>
      <c r="G176" s="8">
        <v>27</v>
      </c>
      <c r="H176" s="4" t="s">
        <v>466</v>
      </c>
      <c r="I176" s="4" t="s">
        <v>62</v>
      </c>
      <c r="J176" s="4" t="s">
        <v>475</v>
      </c>
      <c r="K176" s="4" t="s">
        <v>35</v>
      </c>
      <c r="L176" s="4" t="s">
        <v>64</v>
      </c>
      <c r="M176" s="4" t="s">
        <v>130</v>
      </c>
    </row>
    <row r="177" spans="1:13" ht="15" customHeight="1">
      <c r="A177" s="4" t="s">
        <v>476</v>
      </c>
      <c r="B177" s="4" t="s">
        <v>59</v>
      </c>
      <c r="C177" s="5">
        <v>45809</v>
      </c>
      <c r="D177" s="4" t="s">
        <v>465</v>
      </c>
      <c r="E177" s="6">
        <v>5757</v>
      </c>
      <c r="F177" s="7">
        <v>3393.99</v>
      </c>
      <c r="G177" s="8">
        <v>25</v>
      </c>
      <c r="H177" s="4" t="s">
        <v>466</v>
      </c>
      <c r="I177" s="4" t="s">
        <v>62</v>
      </c>
      <c r="J177" s="4" t="s">
        <v>477</v>
      </c>
      <c r="K177" s="4" t="s">
        <v>35</v>
      </c>
      <c r="L177" s="4" t="s">
        <v>64</v>
      </c>
      <c r="M177" s="4" t="s">
        <v>141</v>
      </c>
    </row>
    <row r="178" spans="1:13" ht="15" customHeight="1">
      <c r="A178" s="4" t="s">
        <v>478</v>
      </c>
      <c r="B178" s="4" t="s">
        <v>59</v>
      </c>
      <c r="C178" s="5">
        <v>45839</v>
      </c>
      <c r="D178" s="4" t="s">
        <v>465</v>
      </c>
      <c r="E178" s="6">
        <v>6735</v>
      </c>
      <c r="F178" s="7">
        <v>3796.91</v>
      </c>
      <c r="G178" s="8">
        <v>26</v>
      </c>
      <c r="H178" s="4" t="s">
        <v>466</v>
      </c>
      <c r="I178" s="4" t="s">
        <v>62</v>
      </c>
      <c r="J178" s="4" t="s">
        <v>479</v>
      </c>
      <c r="K178" s="4" t="s">
        <v>35</v>
      </c>
      <c r="L178" s="4" t="s">
        <v>64</v>
      </c>
      <c r="M178" s="4" t="s">
        <v>124</v>
      </c>
    </row>
    <row r="179" spans="1:13" ht="15" customHeight="1">
      <c r="A179" s="4" t="s">
        <v>480</v>
      </c>
      <c r="B179" s="4" t="s">
        <v>59</v>
      </c>
      <c r="C179" s="5">
        <v>45870</v>
      </c>
      <c r="D179" s="4" t="s">
        <v>465</v>
      </c>
      <c r="E179" s="6">
        <v>4928</v>
      </c>
      <c r="F179" s="7">
        <v>2742.85</v>
      </c>
      <c r="G179" s="8">
        <v>32</v>
      </c>
      <c r="H179" s="4" t="s">
        <v>466</v>
      </c>
      <c r="I179" s="4" t="s">
        <v>62</v>
      </c>
      <c r="J179" s="4" t="s">
        <v>481</v>
      </c>
      <c r="K179" s="4" t="s">
        <v>35</v>
      </c>
      <c r="L179" s="4" t="s">
        <v>64</v>
      </c>
      <c r="M179" s="4" t="s">
        <v>127</v>
      </c>
    </row>
    <row r="180" spans="1:13" ht="15" customHeight="1">
      <c r="A180" s="4" t="s">
        <v>482</v>
      </c>
      <c r="B180" s="4" t="s">
        <v>59</v>
      </c>
      <c r="C180" s="5">
        <v>45901</v>
      </c>
      <c r="D180" s="4" t="s">
        <v>465</v>
      </c>
      <c r="E180" s="6">
        <v>4660</v>
      </c>
      <c r="F180" s="7">
        <v>2577.96</v>
      </c>
      <c r="G180" s="8">
        <v>31</v>
      </c>
      <c r="H180" s="4" t="s">
        <v>466</v>
      </c>
      <c r="I180" s="4" t="s">
        <v>62</v>
      </c>
      <c r="J180" s="4" t="s">
        <v>483</v>
      </c>
      <c r="K180" s="4" t="s">
        <v>35</v>
      </c>
      <c r="L180" s="4" t="s">
        <v>64</v>
      </c>
      <c r="M180" s="4" t="s">
        <v>124</v>
      </c>
    </row>
    <row r="181" spans="1:13" ht="15" customHeight="1">
      <c r="A181" s="4" t="s">
        <v>484</v>
      </c>
      <c r="B181" s="4" t="s">
        <v>59</v>
      </c>
      <c r="C181" s="5">
        <v>45931</v>
      </c>
      <c r="D181" s="4" t="s">
        <v>465</v>
      </c>
      <c r="E181" s="6">
        <v>6013</v>
      </c>
      <c r="F181" s="7">
        <v>3086.63</v>
      </c>
      <c r="G181" s="8">
        <v>33</v>
      </c>
      <c r="H181" s="4" t="s">
        <v>466</v>
      </c>
      <c r="I181" s="4" t="s">
        <v>62</v>
      </c>
      <c r="J181" s="4" t="s">
        <v>485</v>
      </c>
      <c r="K181" s="4" t="s">
        <v>35</v>
      </c>
      <c r="L181" s="4" t="s">
        <v>64</v>
      </c>
      <c r="M181" s="4" t="s">
        <v>130</v>
      </c>
    </row>
    <row r="182" spans="1:13" ht="15" customHeight="1">
      <c r="A182" s="4" t="s">
        <v>486</v>
      </c>
      <c r="B182" s="4" t="s">
        <v>59</v>
      </c>
      <c r="C182" s="5">
        <v>45962</v>
      </c>
      <c r="D182" s="4" t="s">
        <v>465</v>
      </c>
      <c r="E182" s="6">
        <v>5005</v>
      </c>
      <c r="F182" s="7">
        <v>2436.09</v>
      </c>
      <c r="G182" s="8">
        <v>23</v>
      </c>
      <c r="H182" s="4" t="s">
        <v>466</v>
      </c>
      <c r="I182" s="4" t="s">
        <v>62</v>
      </c>
      <c r="J182" s="4" t="s">
        <v>487</v>
      </c>
      <c r="K182" s="4" t="s">
        <v>35</v>
      </c>
      <c r="L182" s="4" t="s">
        <v>64</v>
      </c>
      <c r="M182" s="4" t="s">
        <v>177</v>
      </c>
    </row>
    <row r="183" spans="1:13" ht="15" customHeight="1">
      <c r="A183" s="4" t="s">
        <v>488</v>
      </c>
      <c r="B183" s="4" t="s">
        <v>59</v>
      </c>
      <c r="C183" s="5">
        <v>45992</v>
      </c>
      <c r="D183" s="4" t="s">
        <v>465</v>
      </c>
      <c r="E183" s="6">
        <v>4414</v>
      </c>
      <c r="F183" s="7">
        <v>2277.9</v>
      </c>
      <c r="G183" s="8">
        <v>21</v>
      </c>
      <c r="H183" s="4" t="s">
        <v>466</v>
      </c>
      <c r="I183" s="4" t="s">
        <v>62</v>
      </c>
      <c r="J183" s="4" t="s">
        <v>489</v>
      </c>
      <c r="K183" s="4" t="s">
        <v>35</v>
      </c>
      <c r="L183" s="4" t="s">
        <v>64</v>
      </c>
      <c r="M183" s="4" t="s">
        <v>490</v>
      </c>
    </row>
    <row r="184" spans="1:13" ht="14.1">
      <c r="A184" s="4" t="s">
        <v>491</v>
      </c>
      <c r="B184" s="4" t="s">
        <v>59</v>
      </c>
      <c r="C184" s="5">
        <v>45658</v>
      </c>
      <c r="D184" s="4" t="s">
        <v>492</v>
      </c>
      <c r="E184" s="6">
        <v>4317</v>
      </c>
      <c r="F184" s="7">
        <v>2575.44</v>
      </c>
      <c r="G184" s="8">
        <v>32</v>
      </c>
      <c r="H184" s="4" t="s">
        <v>493</v>
      </c>
      <c r="I184" s="4" t="s">
        <v>62</v>
      </c>
      <c r="J184" s="4" t="s">
        <v>494</v>
      </c>
      <c r="K184" s="4" t="s">
        <v>35</v>
      </c>
      <c r="L184" s="4" t="s">
        <v>64</v>
      </c>
      <c r="M184" s="4" t="s">
        <v>141</v>
      </c>
    </row>
    <row r="185" spans="1:13" ht="15" customHeight="1">
      <c r="A185" s="4" t="s">
        <v>495</v>
      </c>
      <c r="B185" s="4" t="s">
        <v>59</v>
      </c>
      <c r="C185" s="5">
        <v>45689</v>
      </c>
      <c r="D185" s="4" t="s">
        <v>492</v>
      </c>
      <c r="E185" s="6">
        <v>4080</v>
      </c>
      <c r="F185" s="7">
        <v>2400.56</v>
      </c>
      <c r="G185" s="8">
        <v>28</v>
      </c>
      <c r="H185" s="4" t="s">
        <v>493</v>
      </c>
      <c r="I185" s="4" t="s">
        <v>62</v>
      </c>
      <c r="J185" s="4" t="s">
        <v>496</v>
      </c>
      <c r="K185" s="4" t="s">
        <v>35</v>
      </c>
      <c r="L185" s="4" t="s">
        <v>64</v>
      </c>
      <c r="M185" s="4" t="s">
        <v>124</v>
      </c>
    </row>
    <row r="186" spans="1:13" ht="15" customHeight="1">
      <c r="A186" s="4" t="s">
        <v>497</v>
      </c>
      <c r="B186" s="4" t="s">
        <v>59</v>
      </c>
      <c r="C186" s="5">
        <v>45717</v>
      </c>
      <c r="D186" s="4" t="s">
        <v>492</v>
      </c>
      <c r="E186" s="6">
        <v>4117</v>
      </c>
      <c r="F186" s="7">
        <v>2422.4699999999998</v>
      </c>
      <c r="G186" s="8">
        <v>33</v>
      </c>
      <c r="H186" s="4" t="s">
        <v>493</v>
      </c>
      <c r="I186" s="4" t="s">
        <v>62</v>
      </c>
      <c r="J186" s="4" t="s">
        <v>498</v>
      </c>
      <c r="K186" s="4" t="s">
        <v>35</v>
      </c>
      <c r="L186" s="4" t="s">
        <v>64</v>
      </c>
      <c r="M186" s="4" t="s">
        <v>162</v>
      </c>
    </row>
    <row r="187" spans="1:13" ht="15" customHeight="1">
      <c r="A187" s="4" t="s">
        <v>499</v>
      </c>
      <c r="B187" s="4" t="s">
        <v>59</v>
      </c>
      <c r="C187" s="5">
        <v>45748</v>
      </c>
      <c r="D187" s="4" t="s">
        <v>492</v>
      </c>
      <c r="E187" s="6">
        <v>4035</v>
      </c>
      <c r="F187" s="7">
        <v>2373.91</v>
      </c>
      <c r="G187" s="8">
        <v>34</v>
      </c>
      <c r="H187" s="4" t="s">
        <v>493</v>
      </c>
      <c r="I187" s="4" t="s">
        <v>62</v>
      </c>
      <c r="J187" s="4" t="s">
        <v>500</v>
      </c>
      <c r="K187" s="4" t="s">
        <v>35</v>
      </c>
      <c r="L187" s="4" t="s">
        <v>64</v>
      </c>
      <c r="M187" s="4" t="s">
        <v>124</v>
      </c>
    </row>
    <row r="188" spans="1:13" ht="15" customHeight="1">
      <c r="A188" s="4" t="s">
        <v>501</v>
      </c>
      <c r="B188" s="4" t="s">
        <v>59</v>
      </c>
      <c r="C188" s="5">
        <v>45778</v>
      </c>
      <c r="D188" s="4" t="s">
        <v>492</v>
      </c>
      <c r="E188" s="6">
        <v>4811</v>
      </c>
      <c r="F188" s="7">
        <v>2833.59</v>
      </c>
      <c r="G188" s="8">
        <v>35</v>
      </c>
      <c r="H188" s="4" t="s">
        <v>493</v>
      </c>
      <c r="I188" s="4" t="s">
        <v>62</v>
      </c>
      <c r="J188" s="4" t="s">
        <v>502</v>
      </c>
      <c r="K188" s="4" t="s">
        <v>35</v>
      </c>
      <c r="L188" s="4" t="s">
        <v>64</v>
      </c>
      <c r="M188" s="4" t="s">
        <v>141</v>
      </c>
    </row>
    <row r="189" spans="1:13" ht="15" customHeight="1">
      <c r="A189" s="4" t="s">
        <v>503</v>
      </c>
      <c r="B189" s="4" t="s">
        <v>59</v>
      </c>
      <c r="C189" s="5">
        <v>45809</v>
      </c>
      <c r="D189" s="4" t="s">
        <v>492</v>
      </c>
      <c r="E189" s="6">
        <v>4157</v>
      </c>
      <c r="F189" s="7">
        <v>2446.17</v>
      </c>
      <c r="G189" s="8">
        <v>34</v>
      </c>
      <c r="H189" s="4" t="s">
        <v>493</v>
      </c>
      <c r="I189" s="4" t="s">
        <v>62</v>
      </c>
      <c r="J189" s="4" t="s">
        <v>504</v>
      </c>
      <c r="K189" s="4" t="s">
        <v>35</v>
      </c>
      <c r="L189" s="4" t="s">
        <v>64</v>
      </c>
      <c r="M189" s="4" t="s">
        <v>162</v>
      </c>
    </row>
    <row r="190" spans="1:13" ht="15" customHeight="1">
      <c r="A190" s="4" t="s">
        <v>505</v>
      </c>
      <c r="B190" s="4" t="s">
        <v>59</v>
      </c>
      <c r="C190" s="5">
        <v>45839</v>
      </c>
      <c r="D190" s="4" t="s">
        <v>492</v>
      </c>
      <c r="E190" s="6">
        <v>5739</v>
      </c>
      <c r="F190" s="7">
        <v>3238.63</v>
      </c>
      <c r="G190" s="8">
        <v>36</v>
      </c>
      <c r="H190" s="4" t="s">
        <v>493</v>
      </c>
      <c r="I190" s="4" t="s">
        <v>62</v>
      </c>
      <c r="J190" s="4" t="s">
        <v>506</v>
      </c>
      <c r="K190" s="4" t="s">
        <v>35</v>
      </c>
      <c r="L190" s="4" t="s">
        <v>64</v>
      </c>
      <c r="M190" s="4" t="s">
        <v>130</v>
      </c>
    </row>
    <row r="191" spans="1:13" ht="15" customHeight="1">
      <c r="A191" s="4" t="s">
        <v>507</v>
      </c>
      <c r="B191" s="4" t="s">
        <v>59</v>
      </c>
      <c r="C191" s="5">
        <v>45870</v>
      </c>
      <c r="D191" s="4" t="s">
        <v>492</v>
      </c>
      <c r="E191" s="6">
        <v>4528</v>
      </c>
      <c r="F191" s="7">
        <v>2488.27</v>
      </c>
      <c r="G191" s="8">
        <v>33</v>
      </c>
      <c r="H191" s="4" t="s">
        <v>493</v>
      </c>
      <c r="I191" s="4" t="s">
        <v>62</v>
      </c>
      <c r="J191" s="4" t="s">
        <v>508</v>
      </c>
      <c r="K191" s="4" t="s">
        <v>35</v>
      </c>
      <c r="L191" s="4" t="s">
        <v>64</v>
      </c>
      <c r="M191" s="4" t="s">
        <v>162</v>
      </c>
    </row>
    <row r="192" spans="1:13" ht="15" customHeight="1">
      <c r="A192" s="4" t="s">
        <v>509</v>
      </c>
      <c r="B192" s="4" t="s">
        <v>59</v>
      </c>
      <c r="C192" s="5">
        <v>45901</v>
      </c>
      <c r="D192" s="4" t="s">
        <v>492</v>
      </c>
      <c r="E192" s="6">
        <v>3417</v>
      </c>
      <c r="F192" s="7">
        <v>1896.13</v>
      </c>
      <c r="G192" s="8">
        <v>34</v>
      </c>
      <c r="H192" s="4" t="s">
        <v>493</v>
      </c>
      <c r="I192" s="4" t="s">
        <v>62</v>
      </c>
      <c r="J192" s="4" t="s">
        <v>510</v>
      </c>
      <c r="K192" s="4" t="s">
        <v>35</v>
      </c>
      <c r="L192" s="4" t="s">
        <v>64</v>
      </c>
      <c r="M192" s="4" t="s">
        <v>130</v>
      </c>
    </row>
    <row r="193" spans="1:13" ht="15" customHeight="1">
      <c r="A193" s="4" t="s">
        <v>511</v>
      </c>
      <c r="B193" s="4" t="s">
        <v>59</v>
      </c>
      <c r="C193" s="5">
        <v>45931</v>
      </c>
      <c r="D193" s="4" t="s">
        <v>492</v>
      </c>
      <c r="E193" s="6">
        <v>4944</v>
      </c>
      <c r="F193" s="7">
        <v>2475.8000000000002</v>
      </c>
      <c r="G193" s="8">
        <v>33</v>
      </c>
      <c r="H193" s="4" t="s">
        <v>493</v>
      </c>
      <c r="I193" s="4" t="s">
        <v>62</v>
      </c>
      <c r="J193" s="4" t="s">
        <v>512</v>
      </c>
      <c r="K193" s="4" t="s">
        <v>35</v>
      </c>
      <c r="L193" s="4" t="s">
        <v>64</v>
      </c>
      <c r="M193" s="4" t="s">
        <v>127</v>
      </c>
    </row>
    <row r="194" spans="1:13" ht="15" customHeight="1">
      <c r="A194" s="4" t="s">
        <v>513</v>
      </c>
      <c r="B194" s="4" t="s">
        <v>59</v>
      </c>
      <c r="C194" s="5">
        <v>45962</v>
      </c>
      <c r="D194" s="4" t="s">
        <v>492</v>
      </c>
      <c r="E194" s="6">
        <v>4784</v>
      </c>
      <c r="F194" s="7">
        <v>2269</v>
      </c>
      <c r="G194" s="8">
        <v>33</v>
      </c>
      <c r="H194" s="4" t="s">
        <v>493</v>
      </c>
      <c r="I194" s="4" t="s">
        <v>62</v>
      </c>
      <c r="J194" s="4" t="s">
        <v>514</v>
      </c>
      <c r="K194" s="4" t="s">
        <v>35</v>
      </c>
      <c r="L194" s="4" t="s">
        <v>64</v>
      </c>
      <c r="M194" s="4" t="s">
        <v>370</v>
      </c>
    </row>
    <row r="195" spans="1:13" ht="15" customHeight="1">
      <c r="A195" s="4" t="s">
        <v>515</v>
      </c>
      <c r="B195" s="4" t="s">
        <v>59</v>
      </c>
      <c r="C195" s="5">
        <v>45992</v>
      </c>
      <c r="D195" s="4" t="s">
        <v>492</v>
      </c>
      <c r="E195" s="6">
        <v>4529</v>
      </c>
      <c r="F195" s="7">
        <v>2275.4899999999998</v>
      </c>
      <c r="G195" s="8">
        <v>34</v>
      </c>
      <c r="H195" s="4" t="s">
        <v>493</v>
      </c>
      <c r="I195" s="4" t="s">
        <v>62</v>
      </c>
      <c r="J195" s="4" t="s">
        <v>516</v>
      </c>
      <c r="K195" s="4" t="s">
        <v>35</v>
      </c>
      <c r="L195" s="4" t="s">
        <v>64</v>
      </c>
      <c r="M195" s="4" t="s">
        <v>517</v>
      </c>
    </row>
    <row r="196" spans="1:13" ht="15" customHeight="1"/>
    <row r="197" spans="1:13" ht="15" customHeight="1">
      <c r="A197" s="4" t="s">
        <v>518</v>
      </c>
      <c r="B197" s="4"/>
      <c r="C197" s="9"/>
      <c r="D197" s="4" t="s">
        <v>519</v>
      </c>
      <c r="E197" s="6">
        <f>SUM(E4:E15)</f>
        <v>69928</v>
      </c>
      <c r="F197" s="7">
        <f>SUM(F4:F15)</f>
        <v>37190.089999999997</v>
      </c>
      <c r="G197" s="8"/>
      <c r="H197" s="4"/>
      <c r="I197" s="4"/>
      <c r="J197" s="4"/>
      <c r="K197" s="4"/>
      <c r="L197" s="4"/>
      <c r="M197" s="4"/>
    </row>
    <row r="198" spans="1:13" ht="15" customHeight="1">
      <c r="A198" s="4"/>
      <c r="B198" s="4"/>
      <c r="C198" s="9"/>
      <c r="D198" s="4" t="s">
        <v>520</v>
      </c>
      <c r="E198" s="6">
        <f>SUM(E16:E27)</f>
        <v>102371</v>
      </c>
      <c r="F198" s="7">
        <f>SUM(F16:F27)</f>
        <v>58385.369999999995</v>
      </c>
      <c r="G198" s="8"/>
      <c r="H198" s="4"/>
      <c r="I198" s="4"/>
      <c r="J198" s="4"/>
      <c r="K198" s="4"/>
      <c r="L198" s="4"/>
      <c r="M198" s="4"/>
    </row>
    <row r="199" spans="1:13" ht="15" customHeight="1">
      <c r="A199" s="4"/>
      <c r="B199" s="4"/>
      <c r="C199" s="9"/>
      <c r="D199" s="4" t="s">
        <v>521</v>
      </c>
      <c r="E199" s="6">
        <f>SUM(E28:E39)</f>
        <v>102371</v>
      </c>
      <c r="F199" s="7">
        <f>SUM(F28:F39)</f>
        <v>58385.369999999995</v>
      </c>
      <c r="G199" s="8"/>
      <c r="H199" s="4"/>
      <c r="I199" s="4"/>
      <c r="J199" s="4"/>
      <c r="K199" s="4"/>
      <c r="L199" s="4"/>
      <c r="M199" s="4"/>
    </row>
    <row r="200" spans="1:13" ht="15" customHeight="1">
      <c r="A200" s="4"/>
      <c r="B200" s="4"/>
      <c r="C200" s="9"/>
      <c r="D200" s="4" t="s">
        <v>522</v>
      </c>
      <c r="E200" s="6">
        <f>SUM(E40:E51)</f>
        <v>82234</v>
      </c>
      <c r="F200" s="7">
        <f>SUM(F40:F51)</f>
        <v>42053.369999999995</v>
      </c>
      <c r="G200" s="8"/>
      <c r="H200" s="4"/>
      <c r="I200" s="4"/>
      <c r="J200" s="4"/>
      <c r="K200" s="4"/>
      <c r="L200" s="4"/>
      <c r="M200" s="4"/>
    </row>
    <row r="201" spans="1:13" ht="14.1">
      <c r="A201" s="4"/>
      <c r="B201" s="4"/>
      <c r="C201" s="9"/>
      <c r="D201" s="4" t="s">
        <v>523</v>
      </c>
      <c r="E201" s="6">
        <f>SUM(E52:E63)</f>
        <v>110866</v>
      </c>
      <c r="F201" s="7">
        <f>SUM(F52:F63)</f>
        <v>57893.020000000004</v>
      </c>
      <c r="G201" s="8"/>
      <c r="H201" s="4"/>
      <c r="I201" s="4"/>
      <c r="J201" s="4"/>
      <c r="K201" s="4"/>
      <c r="L201" s="4"/>
      <c r="M201" s="4"/>
    </row>
    <row r="202" spans="1:13" ht="14.1">
      <c r="A202" s="4"/>
      <c r="B202" s="4"/>
      <c r="C202" s="9"/>
      <c r="D202" s="4" t="s">
        <v>524</v>
      </c>
      <c r="E202" s="6">
        <f>SUM(E64:E75)</f>
        <v>48421</v>
      </c>
      <c r="F202" s="7">
        <f>SUM(F64:F75)</f>
        <v>26915.669999999995</v>
      </c>
      <c r="G202" s="8"/>
      <c r="H202" s="4"/>
      <c r="I202" s="4"/>
      <c r="J202" s="4"/>
      <c r="K202" s="4"/>
      <c r="L202" s="4"/>
      <c r="M202" s="4"/>
    </row>
    <row r="203" spans="1:13" ht="14.1">
      <c r="A203" s="4"/>
      <c r="B203" s="4"/>
      <c r="C203" s="9"/>
      <c r="D203" s="4" t="s">
        <v>525</v>
      </c>
      <c r="E203" s="6">
        <f>SUM(E76:E87)</f>
        <v>96227</v>
      </c>
      <c r="F203" s="7">
        <f>SUM(F76:F87)</f>
        <v>52076.119999999995</v>
      </c>
      <c r="G203" s="8"/>
      <c r="H203" s="4"/>
      <c r="I203" s="4"/>
      <c r="J203" s="4"/>
      <c r="K203" s="4"/>
      <c r="L203" s="4"/>
      <c r="M203" s="4"/>
    </row>
    <row r="204" spans="1:13" ht="14.1">
      <c r="A204" s="4"/>
      <c r="B204" s="4"/>
      <c r="C204" s="9"/>
      <c r="D204" s="4" t="s">
        <v>526</v>
      </c>
      <c r="E204" s="6">
        <f>SUM(E88:E99)</f>
        <v>104167</v>
      </c>
      <c r="F204" s="7">
        <f>SUM(F88:F99)</f>
        <v>55641.780000000006</v>
      </c>
      <c r="G204" s="8"/>
      <c r="H204" s="4"/>
      <c r="I204" s="4"/>
      <c r="J204" s="4"/>
      <c r="K204" s="4"/>
      <c r="L204" s="4"/>
      <c r="M204" s="4"/>
    </row>
    <row r="205" spans="1:13" ht="14.1">
      <c r="A205" s="4"/>
      <c r="B205" s="4"/>
      <c r="C205" s="9"/>
      <c r="D205" s="4" t="s">
        <v>527</v>
      </c>
      <c r="E205" s="6">
        <f>SUM(E100:E111)</f>
        <v>111950</v>
      </c>
      <c r="F205" s="7">
        <f>SUM(F100:F111)</f>
        <v>65420.97</v>
      </c>
      <c r="G205" s="8"/>
      <c r="H205" s="4"/>
      <c r="I205" s="4"/>
      <c r="J205" s="4"/>
      <c r="K205" s="4"/>
      <c r="L205" s="4"/>
      <c r="M205" s="4"/>
    </row>
    <row r="206" spans="1:13" ht="14.1">
      <c r="A206" s="4"/>
      <c r="B206" s="4"/>
      <c r="C206" s="9"/>
      <c r="D206" s="4" t="s">
        <v>528</v>
      </c>
      <c r="E206" s="6">
        <f>SUM(E112:E123)</f>
        <v>126986</v>
      </c>
      <c r="F206" s="7">
        <f>SUM(F112:F123)</f>
        <v>68848.89</v>
      </c>
      <c r="G206" s="8"/>
      <c r="H206" s="4"/>
      <c r="I206" s="4"/>
      <c r="J206" s="4"/>
      <c r="K206" s="4"/>
      <c r="L206" s="4"/>
      <c r="M206" s="4"/>
    </row>
    <row r="207" spans="1:13" ht="14.1">
      <c r="A207" s="4"/>
      <c r="B207" s="4"/>
      <c r="C207" s="9"/>
      <c r="D207" s="4" t="s">
        <v>529</v>
      </c>
      <c r="E207" s="6">
        <f>SUM(E124:E135)</f>
        <v>76665</v>
      </c>
      <c r="F207" s="7">
        <f>SUM(F124:F135)</f>
        <v>39994.979999999996</v>
      </c>
      <c r="G207" s="8"/>
      <c r="H207" s="4"/>
      <c r="I207" s="4"/>
      <c r="J207" s="4"/>
      <c r="K207" s="4"/>
      <c r="L207" s="4"/>
      <c r="M207" s="4"/>
    </row>
    <row r="208" spans="1:13" ht="14.1">
      <c r="A208" s="4"/>
      <c r="B208" s="4"/>
      <c r="C208" s="9"/>
      <c r="D208" s="4" t="s">
        <v>530</v>
      </c>
      <c r="E208" s="6">
        <f>SUM(E136:E147)</f>
        <v>91425</v>
      </c>
      <c r="F208" s="7">
        <f>SUM(F136:F147)</f>
        <v>42387.94</v>
      </c>
      <c r="G208" s="8"/>
      <c r="H208" s="4"/>
      <c r="I208" s="4"/>
      <c r="J208" s="4"/>
      <c r="K208" s="4"/>
      <c r="L208" s="4"/>
      <c r="M208" s="4"/>
    </row>
    <row r="209" spans="1:13" ht="14.1">
      <c r="A209" s="4"/>
      <c r="B209" s="4"/>
      <c r="C209" s="9"/>
      <c r="D209" s="4" t="s">
        <v>531</v>
      </c>
      <c r="E209" s="6">
        <f>SUM(E148:E159)</f>
        <v>80881</v>
      </c>
      <c r="F209" s="7">
        <f>SUM(F148:F159)</f>
        <v>41127.69</v>
      </c>
      <c r="G209" s="8"/>
      <c r="H209" s="4"/>
      <c r="I209" s="4"/>
      <c r="J209" s="4"/>
      <c r="K209" s="4"/>
      <c r="L209" s="4"/>
      <c r="M209" s="4"/>
    </row>
    <row r="210" spans="1:13" ht="14.1">
      <c r="A210" s="4"/>
      <c r="B210" s="4"/>
      <c r="C210" s="9"/>
      <c r="D210" s="4" t="s">
        <v>532</v>
      </c>
      <c r="E210" s="6">
        <f>SUM(E160:E171)</f>
        <v>73742</v>
      </c>
      <c r="F210" s="7">
        <f>SUM(F160:F171)</f>
        <v>40169.06</v>
      </c>
      <c r="G210" s="8"/>
      <c r="H210" s="4"/>
      <c r="I210" s="4"/>
      <c r="J210" s="4"/>
      <c r="K210" s="4"/>
      <c r="L210" s="4"/>
      <c r="M210" s="4"/>
    </row>
    <row r="211" spans="1:13" ht="14.1">
      <c r="A211" s="4"/>
      <c r="B211" s="4"/>
      <c r="C211" s="9"/>
      <c r="D211" s="4" t="s">
        <v>533</v>
      </c>
      <c r="E211" s="6">
        <f>SUM(E172:E183)</f>
        <v>62188</v>
      </c>
      <c r="F211" s="7">
        <f>SUM(F172:F183)</f>
        <v>34689.379999999997</v>
      </c>
      <c r="G211" s="8"/>
      <c r="H211" s="4"/>
      <c r="I211" s="4"/>
      <c r="J211" s="4"/>
      <c r="K211" s="4"/>
      <c r="L211" s="4"/>
      <c r="M211" s="4"/>
    </row>
    <row r="212" spans="1:13" ht="14.1">
      <c r="A212" s="4"/>
      <c r="B212" s="4"/>
      <c r="C212" s="9"/>
      <c r="D212" s="4" t="s">
        <v>534</v>
      </c>
      <c r="E212" s="6">
        <f>SUM(E184:E195)</f>
        <v>53458</v>
      </c>
      <c r="F212" s="7">
        <f>SUM(F184:F195)</f>
        <v>29695.46</v>
      </c>
      <c r="G212" s="8"/>
      <c r="H212" s="4"/>
      <c r="I212" s="4"/>
      <c r="J212" s="4"/>
      <c r="K212" s="4"/>
      <c r="L212" s="4"/>
      <c r="M212" s="4"/>
    </row>
    <row r="213" spans="1:13" ht="14.1">
      <c r="A213" s="4"/>
      <c r="B213" s="4"/>
      <c r="C213" s="9"/>
      <c r="D213" s="4" t="s">
        <v>535</v>
      </c>
      <c r="E213" s="6">
        <f>SUM(E4:E195)</f>
        <v>1393880</v>
      </c>
      <c r="F213" s="7">
        <f>SUM(F4:F195)</f>
        <v>750875.16000000027</v>
      </c>
      <c r="G213" s="8"/>
      <c r="H213" s="4"/>
      <c r="I213" s="4"/>
      <c r="J213" s="4"/>
      <c r="K213" s="4"/>
      <c r="L213" s="4"/>
      <c r="M213" s="4"/>
    </row>
  </sheetData>
  <mergeCells count="2">
    <mergeCell ref="A2:M2"/>
    <mergeCell ref="A1:M1"/>
  </mergeCells>
  <conditionalFormatting sqref="L4:L500">
    <cfRule type="expression" dxfId="0" priority="2">
      <formula>$L4="Issue Identified"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Lists!$L$2:$L$17</xm:f>
          </x14:formula1>
          <x14:formula2>
            <xm:f>0</xm:f>
          </x14:formula2>
          <xm:sqref>D4:D500</xm:sqref>
        </x14:dataValidation>
        <x14:dataValidation type="list" allowBlank="1" xr:uid="{00000000-0002-0000-0100-000001000000}">
          <x14:formula1>
            <xm:f>Lists!$A$2:$A$5</xm:f>
          </x14:formula1>
          <x14:formula2>
            <xm:f>0</xm:f>
          </x14:formula2>
          <xm:sqref>I4:I500</xm:sqref>
        </x14:dataValidation>
        <x14:dataValidation type="list" allowBlank="1" xr:uid="{00000000-0002-0000-0100-000002000000}">
          <x14:formula1>
            <xm:f>Lists!$B$2:$B$5</xm:f>
          </x14:formula1>
          <x14:formula2>
            <xm:f>0</xm:f>
          </x14:formula2>
          <xm:sqref>K4:K500</xm:sqref>
        </x14:dataValidation>
        <x14:dataValidation type="list" allowBlank="1" xr:uid="{00000000-0002-0000-0100-000003000000}">
          <x14:formula1>
            <xm:f>Lists!$C$2:$C$5</xm:f>
          </x14:formula1>
          <x14:formula2>
            <xm:f>0</xm:f>
          </x14:formula2>
          <xm:sqref>L4:L500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showGridLines="0" topLeftCell="A3" zoomScaleNormal="100" workbookViewId="0">
      <selection activeCell="A7" sqref="A7:XFD7"/>
    </sheetView>
  </sheetViews>
  <sheetFormatPr defaultColWidth="8.7109375" defaultRowHeight="14.45"/>
  <cols>
    <col min="1" max="1" width="12" style="1" customWidth="1"/>
    <col min="2" max="2" width="15" style="1" customWidth="1"/>
    <col min="3" max="3" width="38" style="1" customWidth="1"/>
    <col min="4" max="4" width="12" style="1" customWidth="1"/>
    <col min="5" max="6" width="18" style="1" customWidth="1"/>
    <col min="7" max="8" width="14" style="1" customWidth="1"/>
    <col min="9" max="9" width="30" style="1" customWidth="1"/>
  </cols>
  <sheetData>
    <row r="1" spans="1:9" ht="27.75" customHeight="1">
      <c r="A1" s="23" t="s">
        <v>536</v>
      </c>
      <c r="B1" s="25"/>
      <c r="C1" s="25"/>
      <c r="D1" s="25"/>
      <c r="E1" s="25"/>
      <c r="F1" s="25"/>
      <c r="G1" s="25"/>
      <c r="H1" s="25"/>
      <c r="I1" s="25"/>
    </row>
    <row r="2" spans="1:9" ht="33.75" customHeight="1">
      <c r="A2" s="22" t="s">
        <v>537</v>
      </c>
      <c r="B2" s="25"/>
      <c r="C2" s="25"/>
      <c r="D2" s="25"/>
      <c r="E2" s="25"/>
      <c r="F2" s="25"/>
      <c r="G2" s="25"/>
      <c r="H2" s="25"/>
      <c r="I2" s="25"/>
    </row>
    <row r="3" spans="1:9" ht="33.75" customHeight="1">
      <c r="A3" s="2" t="s">
        <v>48</v>
      </c>
      <c r="B3" s="2" t="s">
        <v>538</v>
      </c>
      <c r="C3" s="2" t="s">
        <v>539</v>
      </c>
      <c r="D3" s="2" t="s">
        <v>540</v>
      </c>
      <c r="E3" s="2" t="s">
        <v>541</v>
      </c>
      <c r="F3" s="2" t="s">
        <v>542</v>
      </c>
      <c r="G3" s="2" t="s">
        <v>543</v>
      </c>
      <c r="H3" s="2" t="s">
        <v>544</v>
      </c>
      <c r="I3" s="2" t="s">
        <v>57</v>
      </c>
    </row>
    <row r="4" spans="1:9" ht="15" customHeight="1">
      <c r="A4" s="10" t="s">
        <v>60</v>
      </c>
      <c r="B4" s="10" t="s">
        <v>545</v>
      </c>
      <c r="C4" s="10" t="s">
        <v>546</v>
      </c>
      <c r="D4" s="10">
        <v>447.61</v>
      </c>
      <c r="E4" s="10"/>
      <c r="F4" s="10" t="s">
        <v>547</v>
      </c>
      <c r="G4" s="10"/>
      <c r="H4" s="10"/>
      <c r="I4" s="10"/>
    </row>
    <row r="5" spans="1:9" ht="15" customHeight="1">
      <c r="A5" s="10" t="s">
        <v>92</v>
      </c>
      <c r="B5" s="10" t="s">
        <v>548</v>
      </c>
      <c r="C5" s="10" t="s">
        <v>549</v>
      </c>
      <c r="D5" s="10">
        <v>469.81</v>
      </c>
      <c r="E5" s="10"/>
      <c r="F5" s="10" t="s">
        <v>547</v>
      </c>
      <c r="G5" s="10"/>
      <c r="H5" s="10"/>
      <c r="I5" s="10"/>
    </row>
    <row r="6" spans="1:9" ht="15" customHeight="1">
      <c r="A6" s="10" t="s">
        <v>122</v>
      </c>
      <c r="B6" s="10" t="s">
        <v>550</v>
      </c>
      <c r="C6" s="10" t="s">
        <v>551</v>
      </c>
      <c r="D6" s="10">
        <v>644.1</v>
      </c>
      <c r="E6" s="10"/>
      <c r="F6" s="10" t="s">
        <v>547</v>
      </c>
      <c r="G6" s="10"/>
      <c r="H6" s="10"/>
      <c r="I6" s="10"/>
    </row>
    <row r="7" spans="1:9" ht="15" customHeight="1">
      <c r="A7" s="10" t="s">
        <v>153</v>
      </c>
      <c r="B7" s="10" t="s">
        <v>552</v>
      </c>
      <c r="C7" s="10" t="s">
        <v>553</v>
      </c>
      <c r="D7" s="10">
        <v>644.1</v>
      </c>
      <c r="E7" s="10"/>
      <c r="F7" s="10" t="s">
        <v>554</v>
      </c>
      <c r="G7" s="10"/>
      <c r="H7" s="10"/>
      <c r="I7" s="10"/>
    </row>
    <row r="8" spans="1:9" ht="15" customHeight="1">
      <c r="A8" s="10" t="s">
        <v>182</v>
      </c>
      <c r="B8" s="10" t="s">
        <v>555</v>
      </c>
      <c r="C8" s="10" t="s">
        <v>556</v>
      </c>
      <c r="D8" s="10">
        <v>644.1</v>
      </c>
      <c r="E8" s="10"/>
      <c r="F8" s="10" t="s">
        <v>547</v>
      </c>
      <c r="G8" s="10"/>
      <c r="H8" s="10"/>
      <c r="I8" s="10"/>
    </row>
    <row r="9" spans="1:9" ht="15" customHeight="1">
      <c r="A9" s="10" t="s">
        <v>210</v>
      </c>
      <c r="B9" s="10" t="s">
        <v>557</v>
      </c>
      <c r="C9" s="10" t="s">
        <v>558</v>
      </c>
      <c r="D9" s="10">
        <v>644.1</v>
      </c>
      <c r="E9" s="10"/>
      <c r="F9" s="10" t="s">
        <v>547</v>
      </c>
      <c r="G9" s="10"/>
      <c r="H9" s="10"/>
      <c r="I9" s="10"/>
    </row>
    <row r="10" spans="1:9" ht="15" customHeight="1">
      <c r="A10" s="10" t="s">
        <v>237</v>
      </c>
      <c r="B10" s="10" t="s">
        <v>559</v>
      </c>
      <c r="C10" s="10" t="s">
        <v>560</v>
      </c>
      <c r="D10" s="10">
        <v>644.1</v>
      </c>
      <c r="E10" s="10"/>
      <c r="F10" s="10" t="s">
        <v>547</v>
      </c>
      <c r="G10" s="10"/>
      <c r="H10" s="10"/>
      <c r="I10" s="10"/>
    </row>
    <row r="11" spans="1:9" ht="15" customHeight="1">
      <c r="A11" s="10" t="s">
        <v>265</v>
      </c>
      <c r="B11" s="10" t="s">
        <v>561</v>
      </c>
      <c r="C11" s="10" t="s">
        <v>562</v>
      </c>
      <c r="D11" s="10">
        <v>644.1</v>
      </c>
      <c r="E11" s="10"/>
      <c r="F11" s="10" t="s">
        <v>547</v>
      </c>
      <c r="G11" s="10"/>
      <c r="H11" s="10"/>
      <c r="I11" s="10"/>
    </row>
    <row r="12" spans="1:9" ht="15" customHeight="1">
      <c r="A12" s="10" t="s">
        <v>293</v>
      </c>
      <c r="B12" s="10" t="s">
        <v>563</v>
      </c>
      <c r="C12" s="10" t="s">
        <v>564</v>
      </c>
      <c r="D12" s="10">
        <v>644.1</v>
      </c>
      <c r="E12" s="10"/>
      <c r="F12" s="10" t="s">
        <v>547</v>
      </c>
      <c r="G12" s="10"/>
      <c r="H12" s="10"/>
      <c r="I12" s="10"/>
    </row>
    <row r="13" spans="1:9" ht="15" customHeight="1">
      <c r="A13" s="10" t="s">
        <v>320</v>
      </c>
      <c r="B13" s="10" t="s">
        <v>565</v>
      </c>
      <c r="C13" s="10" t="s">
        <v>566</v>
      </c>
      <c r="D13" s="10">
        <v>644.1</v>
      </c>
      <c r="E13" s="10"/>
      <c r="F13" s="10" t="s">
        <v>547</v>
      </c>
      <c r="G13" s="10"/>
      <c r="H13" s="10"/>
      <c r="I13" s="10"/>
    </row>
    <row r="14" spans="1:9" ht="15" customHeight="1">
      <c r="A14" s="10" t="s">
        <v>347</v>
      </c>
      <c r="B14" s="10" t="s">
        <v>567</v>
      </c>
      <c r="C14" s="10" t="s">
        <v>568</v>
      </c>
      <c r="D14" s="10">
        <v>644.1</v>
      </c>
      <c r="E14" s="10"/>
      <c r="F14" s="10" t="s">
        <v>547</v>
      </c>
      <c r="G14" s="10"/>
      <c r="H14" s="10"/>
      <c r="I14" s="10"/>
    </row>
    <row r="15" spans="1:9" ht="15" customHeight="1">
      <c r="A15" s="10" t="s">
        <v>375</v>
      </c>
      <c r="B15" s="10" t="s">
        <v>569</v>
      </c>
      <c r="C15" s="10" t="s">
        <v>570</v>
      </c>
      <c r="D15" s="10">
        <v>612.32000000000005</v>
      </c>
      <c r="E15" s="10"/>
      <c r="F15" s="10" t="s">
        <v>547</v>
      </c>
      <c r="G15" s="10"/>
      <c r="H15" s="10"/>
      <c r="I15" s="10"/>
    </row>
    <row r="16" spans="1:9" ht="15" customHeight="1">
      <c r="A16" s="10" t="s">
        <v>409</v>
      </c>
      <c r="B16" s="10" t="s">
        <v>571</v>
      </c>
      <c r="C16" s="10" t="s">
        <v>572</v>
      </c>
      <c r="D16" s="10">
        <v>566.52</v>
      </c>
      <c r="E16" s="10"/>
      <c r="F16" s="10" t="s">
        <v>547</v>
      </c>
      <c r="G16" s="10"/>
      <c r="H16" s="10"/>
      <c r="I16" s="10"/>
    </row>
    <row r="17" spans="1:9" ht="15" customHeight="1">
      <c r="A17" s="10" t="s">
        <v>436</v>
      </c>
      <c r="B17" s="10" t="s">
        <v>573</v>
      </c>
      <c r="C17" s="10" t="s">
        <v>574</v>
      </c>
      <c r="D17" s="10">
        <v>513.01</v>
      </c>
      <c r="E17" s="10"/>
      <c r="F17" s="10" t="s">
        <v>547</v>
      </c>
      <c r="G17" s="10"/>
      <c r="H17" s="10"/>
      <c r="I17" s="10"/>
    </row>
    <row r="18" spans="1:9" ht="15" customHeight="1">
      <c r="A18" s="10" t="s">
        <v>465</v>
      </c>
      <c r="B18" s="10" t="s">
        <v>575</v>
      </c>
      <c r="C18" s="10" t="s">
        <v>576</v>
      </c>
      <c r="D18" s="10">
        <v>458.01</v>
      </c>
      <c r="E18" s="10"/>
      <c r="F18" s="10" t="s">
        <v>547</v>
      </c>
      <c r="G18" s="10"/>
      <c r="H18" s="10"/>
      <c r="I18" s="10"/>
    </row>
    <row r="19" spans="1:9" ht="15" customHeight="1">
      <c r="A19" s="10" t="s">
        <v>492</v>
      </c>
      <c r="B19" s="10" t="s">
        <v>577</v>
      </c>
      <c r="C19" s="10" t="s">
        <v>578</v>
      </c>
      <c r="D19" s="10">
        <v>458.01</v>
      </c>
      <c r="E19" s="10"/>
      <c r="F19" s="10" t="s">
        <v>547</v>
      </c>
      <c r="G19" s="10"/>
      <c r="H19" s="10"/>
      <c r="I19" s="10"/>
    </row>
  </sheetData>
  <mergeCells count="2">
    <mergeCell ref="A1:I1"/>
    <mergeCell ref="A2:I2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showGridLines="0" tabSelected="1" zoomScaleNormal="100" workbookViewId="0">
      <pane ySplit="3" topLeftCell="A4" activePane="bottomLeft" state="frozen"/>
      <selection pane="bottomLeft" activeCell="D5" sqref="D5"/>
    </sheetView>
  </sheetViews>
  <sheetFormatPr defaultColWidth="8.7109375" defaultRowHeight="14.45"/>
  <cols>
    <col min="1" max="1" width="14" style="1" customWidth="1"/>
    <col min="2" max="2" width="12" style="1" customWidth="1"/>
    <col min="3" max="4" width="18" style="1" customWidth="1"/>
    <col min="5" max="5" width="16" style="1" customWidth="1"/>
    <col min="6" max="6" width="18" style="1" customWidth="1"/>
    <col min="7" max="7" width="22" style="1" customWidth="1"/>
    <col min="8" max="8" width="18" style="1" customWidth="1"/>
    <col min="9" max="9" width="40" style="1" customWidth="1"/>
  </cols>
  <sheetData>
    <row r="1" spans="1:9" ht="27.75" customHeight="1">
      <c r="A1" s="23" t="s">
        <v>16</v>
      </c>
      <c r="B1" s="25"/>
      <c r="C1" s="25"/>
      <c r="D1" s="25"/>
      <c r="E1" s="25"/>
      <c r="F1" s="25"/>
      <c r="G1" s="25"/>
      <c r="H1" s="25"/>
      <c r="I1" s="25"/>
    </row>
    <row r="2" spans="1:9" ht="33.75" customHeight="1">
      <c r="A2" s="22" t="s">
        <v>579</v>
      </c>
      <c r="B2" s="25"/>
      <c r="C2" s="25"/>
      <c r="D2" s="25"/>
      <c r="E2" s="25"/>
      <c r="F2" s="25"/>
      <c r="G2" s="25"/>
      <c r="H2" s="25"/>
      <c r="I2" s="25"/>
    </row>
    <row r="3" spans="1:9" ht="33.75" customHeight="1">
      <c r="A3" s="2" t="s">
        <v>47</v>
      </c>
      <c r="B3" s="2" t="s">
        <v>48</v>
      </c>
      <c r="C3" s="2" t="s">
        <v>541</v>
      </c>
      <c r="D3" s="2" t="s">
        <v>580</v>
      </c>
      <c r="E3" s="2" t="s">
        <v>581</v>
      </c>
      <c r="F3" s="2" t="s">
        <v>582</v>
      </c>
      <c r="G3" s="2" t="s">
        <v>583</v>
      </c>
      <c r="H3" s="2" t="s">
        <v>56</v>
      </c>
      <c r="I3" s="2" t="s">
        <v>57</v>
      </c>
    </row>
    <row r="4" spans="1:9" ht="33.75" customHeight="1">
      <c r="A4" s="17">
        <v>46022</v>
      </c>
      <c r="B4" t="s">
        <v>60</v>
      </c>
      <c r="C4">
        <v>20</v>
      </c>
      <c r="F4" t="s">
        <v>584</v>
      </c>
      <c r="G4" t="s">
        <v>585</v>
      </c>
      <c r="H4" t="s">
        <v>64</v>
      </c>
      <c r="I4" t="s">
        <v>586</v>
      </c>
    </row>
    <row r="5" spans="1:9" ht="15" customHeight="1">
      <c r="A5" s="17">
        <v>45658</v>
      </c>
      <c r="B5" t="s">
        <v>92</v>
      </c>
      <c r="C5">
        <v>21</v>
      </c>
      <c r="F5" t="s">
        <v>584</v>
      </c>
      <c r="G5" t="s">
        <v>585</v>
      </c>
      <c r="H5" t="s">
        <v>64</v>
      </c>
      <c r="I5" t="s">
        <v>586</v>
      </c>
    </row>
    <row r="6" spans="1:9" ht="15" customHeight="1">
      <c r="A6" s="17">
        <v>45658</v>
      </c>
      <c r="B6" t="s">
        <v>122</v>
      </c>
      <c r="C6">
        <v>20</v>
      </c>
      <c r="F6" t="s">
        <v>584</v>
      </c>
      <c r="G6" t="s">
        <v>585</v>
      </c>
      <c r="H6" t="s">
        <v>64</v>
      </c>
      <c r="I6" t="s">
        <v>586</v>
      </c>
    </row>
    <row r="7" spans="1:9" ht="15" customHeight="1">
      <c r="A7" s="17">
        <v>45658</v>
      </c>
      <c r="B7" t="s">
        <v>153</v>
      </c>
      <c r="C7">
        <v>9</v>
      </c>
      <c r="F7" t="s">
        <v>584</v>
      </c>
      <c r="G7" t="s">
        <v>585</v>
      </c>
      <c r="H7" t="s">
        <v>64</v>
      </c>
      <c r="I7" t="s">
        <v>586</v>
      </c>
    </row>
    <row r="8" spans="1:9" ht="15" customHeight="1">
      <c r="A8" s="17">
        <v>45658</v>
      </c>
      <c r="B8" t="s">
        <v>182</v>
      </c>
      <c r="C8">
        <v>45</v>
      </c>
      <c r="F8" t="s">
        <v>584</v>
      </c>
      <c r="G8" t="s">
        <v>585</v>
      </c>
      <c r="H8" t="s">
        <v>64</v>
      </c>
      <c r="I8" t="s">
        <v>586</v>
      </c>
    </row>
    <row r="9" spans="1:9" ht="15" customHeight="1">
      <c r="A9" s="17">
        <v>45658</v>
      </c>
      <c r="B9" t="s">
        <v>210</v>
      </c>
      <c r="C9"/>
      <c r="F9" t="s">
        <v>584</v>
      </c>
      <c r="G9" t="s">
        <v>585</v>
      </c>
      <c r="H9" t="s">
        <v>587</v>
      </c>
      <c r="I9" t="s">
        <v>588</v>
      </c>
    </row>
    <row r="10" spans="1:9" ht="15" customHeight="1">
      <c r="A10" s="17">
        <v>45659</v>
      </c>
      <c r="B10" t="s">
        <v>237</v>
      </c>
      <c r="C10"/>
      <c r="F10" t="s">
        <v>584</v>
      </c>
      <c r="G10" t="s">
        <v>585</v>
      </c>
      <c r="H10" t="s">
        <v>587</v>
      </c>
      <c r="I10" t="s">
        <v>588</v>
      </c>
    </row>
    <row r="11" spans="1:9" ht="15" customHeight="1">
      <c r="A11" s="17">
        <v>45658</v>
      </c>
      <c r="B11" t="s">
        <v>265</v>
      </c>
      <c r="C11">
        <v>21</v>
      </c>
      <c r="F11" t="s">
        <v>584</v>
      </c>
      <c r="G11" t="s">
        <v>585</v>
      </c>
      <c r="H11" t="s">
        <v>64</v>
      </c>
      <c r="I11" t="s">
        <v>586</v>
      </c>
    </row>
    <row r="12" spans="1:9" ht="15" customHeight="1">
      <c r="A12" s="17">
        <v>45658</v>
      </c>
      <c r="B12" t="s">
        <v>293</v>
      </c>
      <c r="C12">
        <v>36</v>
      </c>
      <c r="F12" t="s">
        <v>584</v>
      </c>
      <c r="G12" t="s">
        <v>585</v>
      </c>
      <c r="H12" t="s">
        <v>64</v>
      </c>
      <c r="I12" t="s">
        <v>586</v>
      </c>
    </row>
    <row r="13" spans="1:9" ht="15" customHeight="1">
      <c r="A13" s="17">
        <v>45658</v>
      </c>
      <c r="B13" t="s">
        <v>320</v>
      </c>
      <c r="C13">
        <v>38</v>
      </c>
      <c r="F13" t="s">
        <v>584</v>
      </c>
      <c r="G13" t="s">
        <v>585</v>
      </c>
      <c r="H13" t="s">
        <v>64</v>
      </c>
      <c r="I13" t="s">
        <v>586</v>
      </c>
    </row>
    <row r="14" spans="1:9" ht="15" customHeight="1">
      <c r="A14" s="17">
        <v>45658</v>
      </c>
      <c r="B14" t="s">
        <v>347</v>
      </c>
      <c r="C14">
        <v>33</v>
      </c>
      <c r="F14" t="s">
        <v>584</v>
      </c>
      <c r="G14" t="s">
        <v>585</v>
      </c>
      <c r="H14" t="s">
        <v>64</v>
      </c>
      <c r="I14" t="s">
        <v>586</v>
      </c>
    </row>
    <row r="15" spans="1:9" ht="15" customHeight="1">
      <c r="A15" s="17">
        <v>45658</v>
      </c>
      <c r="B15" t="s">
        <v>375</v>
      </c>
      <c r="C15">
        <v>19</v>
      </c>
      <c r="F15" t="s">
        <v>584</v>
      </c>
      <c r="G15" t="s">
        <v>585</v>
      </c>
      <c r="H15" t="s">
        <v>64</v>
      </c>
      <c r="I15" t="s">
        <v>586</v>
      </c>
    </row>
    <row r="16" spans="1:9" ht="15" customHeight="1">
      <c r="A16" s="17">
        <v>45658</v>
      </c>
      <c r="B16" t="s">
        <v>409</v>
      </c>
      <c r="C16">
        <v>16</v>
      </c>
      <c r="F16" t="s">
        <v>584</v>
      </c>
      <c r="G16" t="s">
        <v>585</v>
      </c>
      <c r="H16" t="s">
        <v>64</v>
      </c>
      <c r="I16" t="s">
        <v>586</v>
      </c>
    </row>
    <row r="17" spans="1:9" ht="15" customHeight="1">
      <c r="A17" s="17">
        <v>45658</v>
      </c>
      <c r="B17" t="s">
        <v>436</v>
      </c>
      <c r="C17">
        <v>8</v>
      </c>
      <c r="F17" t="s">
        <v>584</v>
      </c>
      <c r="G17" t="s">
        <v>585</v>
      </c>
      <c r="H17" t="s">
        <v>64</v>
      </c>
      <c r="I17" t="s">
        <v>586</v>
      </c>
    </row>
    <row r="18" spans="1:9" ht="15" customHeight="1">
      <c r="A18" s="17">
        <v>45658</v>
      </c>
      <c r="B18" t="s">
        <v>465</v>
      </c>
      <c r="C18">
        <v>8</v>
      </c>
      <c r="F18" t="s">
        <v>584</v>
      </c>
      <c r="G18" t="s">
        <v>585</v>
      </c>
      <c r="H18" t="s">
        <v>64</v>
      </c>
      <c r="I18" t="s">
        <v>586</v>
      </c>
    </row>
    <row r="19" spans="1:9" ht="15" customHeight="1">
      <c r="A19" s="17">
        <v>45658</v>
      </c>
      <c r="B19" t="s">
        <v>492</v>
      </c>
      <c r="C19">
        <v>4</v>
      </c>
      <c r="F19" t="s">
        <v>584</v>
      </c>
      <c r="G19" t="s">
        <v>585</v>
      </c>
      <c r="H19" t="s">
        <v>64</v>
      </c>
      <c r="I19" t="s">
        <v>586</v>
      </c>
    </row>
    <row r="20" spans="1:9" ht="15" customHeight="1">
      <c r="A20" s="11"/>
    </row>
    <row r="21" spans="1:9" ht="15" customHeight="1">
      <c r="A21" s="11"/>
    </row>
  </sheetData>
  <autoFilter ref="A3:I19" xr:uid="{00000000-0009-0000-0000-000003000000}"/>
  <mergeCells count="2">
    <mergeCell ref="A1:I1"/>
    <mergeCell ref="A2:I2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"/>
  <sheetViews>
    <sheetView showGridLines="0" zoomScaleNormal="100" workbookViewId="0">
      <selection sqref="A1:I1"/>
    </sheetView>
  </sheetViews>
  <sheetFormatPr defaultColWidth="8.7109375" defaultRowHeight="14.45"/>
  <cols>
    <col min="1" max="1" width="10" style="1" customWidth="1"/>
    <col min="2" max="2" width="16" style="1" customWidth="1"/>
    <col min="3" max="3" width="18" style="1" customWidth="1"/>
    <col min="4" max="6" width="16" style="1" customWidth="1"/>
    <col min="7" max="7" width="28" style="1" customWidth="1"/>
    <col min="8" max="8" width="18" style="1" customWidth="1"/>
    <col min="9" max="9" width="48" style="1" customWidth="1"/>
  </cols>
  <sheetData>
    <row r="1" spans="1:9" ht="27.75" customHeight="1">
      <c r="A1" s="23" t="s">
        <v>589</v>
      </c>
      <c r="B1" s="25"/>
      <c r="C1" s="25"/>
      <c r="D1" s="25"/>
      <c r="E1" s="25"/>
      <c r="F1" s="25"/>
      <c r="G1" s="25"/>
      <c r="H1" s="25"/>
      <c r="I1" s="25"/>
    </row>
    <row r="2" spans="1:9" ht="33.75" customHeight="1">
      <c r="A2" s="22" t="s">
        <v>590</v>
      </c>
      <c r="B2" s="25"/>
      <c r="C2" s="25"/>
      <c r="D2" s="25"/>
      <c r="E2" s="25"/>
      <c r="F2" s="25"/>
      <c r="G2" s="25"/>
      <c r="H2" s="25"/>
      <c r="I2" s="25"/>
    </row>
    <row r="3" spans="1:9" ht="33.75" customHeight="1">
      <c r="A3" s="2" t="s">
        <v>591</v>
      </c>
      <c r="B3" s="2" t="s">
        <v>592</v>
      </c>
      <c r="C3" s="2" t="s">
        <v>593</v>
      </c>
      <c r="D3" s="2" t="s">
        <v>594</v>
      </c>
      <c r="E3" s="2" t="s">
        <v>595</v>
      </c>
      <c r="F3" s="2" t="s">
        <v>596</v>
      </c>
      <c r="G3" s="2" t="s">
        <v>597</v>
      </c>
      <c r="H3" s="2" t="s">
        <v>598</v>
      </c>
      <c r="I3" s="2" t="s">
        <v>57</v>
      </c>
    </row>
    <row r="4" spans="1:9" ht="15" customHeight="1">
      <c r="A4" s="1">
        <v>2025</v>
      </c>
      <c r="B4" s="1">
        <v>0.74</v>
      </c>
      <c r="C4" s="1" t="s">
        <v>599</v>
      </c>
      <c r="D4" s="1" t="s">
        <v>600</v>
      </c>
      <c r="E4" s="12">
        <v>45658</v>
      </c>
      <c r="F4" s="12">
        <v>46387</v>
      </c>
      <c r="G4" s="1" t="s">
        <v>601</v>
      </c>
      <c r="H4" s="1" t="s">
        <v>602</v>
      </c>
      <c r="I4" s="1" t="s">
        <v>603</v>
      </c>
    </row>
  </sheetData>
  <mergeCells count="2">
    <mergeCell ref="A1:I1"/>
    <mergeCell ref="A2:I2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showGridLines="0" zoomScaleNormal="100" workbookViewId="0">
      <pane ySplit="3" topLeftCell="A4" activePane="bottomLeft" state="frozen"/>
      <selection pane="bottomLeft" sqref="A1:H1"/>
    </sheetView>
  </sheetViews>
  <sheetFormatPr defaultColWidth="8.7109375" defaultRowHeight="14.45"/>
  <cols>
    <col min="1" max="1" width="25" style="1" customWidth="1"/>
    <col min="2" max="3" width="15" customWidth="1"/>
    <col min="4" max="4" width="28" style="1" customWidth="1"/>
    <col min="5" max="5" width="20" customWidth="1"/>
    <col min="6" max="6" width="18" style="1" customWidth="1"/>
    <col min="7" max="7" width="38" style="1" customWidth="1"/>
    <col min="8" max="8" width="95" style="1" customWidth="1"/>
  </cols>
  <sheetData>
    <row r="1" spans="1:8" ht="27.75" customHeight="1">
      <c r="A1" s="23" t="s">
        <v>19</v>
      </c>
      <c r="B1" s="27"/>
      <c r="C1" s="27"/>
      <c r="D1" s="25"/>
      <c r="E1" s="27"/>
      <c r="F1" s="25"/>
      <c r="G1" s="25"/>
      <c r="H1" s="25"/>
    </row>
    <row r="2" spans="1:8" ht="33.75" customHeight="1">
      <c r="A2" s="22" t="s">
        <v>604</v>
      </c>
      <c r="B2" s="27"/>
      <c r="C2" s="27"/>
      <c r="D2" s="25"/>
      <c r="E2" s="27"/>
      <c r="F2" s="25"/>
      <c r="G2" s="25"/>
      <c r="H2" s="25"/>
    </row>
    <row r="3" spans="1:8" ht="33.75" customHeight="1">
      <c r="A3" s="2" t="s">
        <v>605</v>
      </c>
      <c r="B3" s="2" t="s">
        <v>595</v>
      </c>
      <c r="C3" s="2" t="s">
        <v>596</v>
      </c>
      <c r="D3" s="2" t="s">
        <v>606</v>
      </c>
      <c r="E3" s="2" t="s">
        <v>607</v>
      </c>
      <c r="F3" s="2" t="s">
        <v>608</v>
      </c>
      <c r="G3" s="2" t="s">
        <v>597</v>
      </c>
      <c r="H3" s="2" t="s">
        <v>57</v>
      </c>
    </row>
    <row r="4" spans="1:8" ht="75" customHeight="1">
      <c r="A4" s="18" t="s">
        <v>609</v>
      </c>
      <c r="B4" s="19">
        <v>45658</v>
      </c>
      <c r="C4" s="19">
        <v>45838</v>
      </c>
      <c r="D4" s="20">
        <v>0.56899999999999995</v>
      </c>
      <c r="E4" s="21"/>
      <c r="F4" s="21"/>
      <c r="G4" s="18" t="s">
        <v>610</v>
      </c>
      <c r="H4" s="18" t="s">
        <v>611</v>
      </c>
    </row>
    <row r="5" spans="1:8" ht="75" customHeight="1">
      <c r="A5" s="18" t="s">
        <v>612</v>
      </c>
      <c r="B5" s="19">
        <v>45839</v>
      </c>
      <c r="C5" s="19">
        <v>46022</v>
      </c>
      <c r="D5" s="20">
        <v>0.5101</v>
      </c>
      <c r="E5" s="21"/>
      <c r="F5" s="21"/>
      <c r="G5" s="18" t="s">
        <v>610</v>
      </c>
      <c r="H5" s="18" t="s">
        <v>613</v>
      </c>
    </row>
  </sheetData>
  <autoFilter ref="A3:H5" xr:uid="{00000000-0009-0000-0000-000005000000}"/>
  <mergeCells count="2">
    <mergeCell ref="A2:H2"/>
    <mergeCell ref="A1:H1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9"/>
  <sheetViews>
    <sheetView showGridLines="0" zoomScaleNormal="100" workbookViewId="0">
      <selection activeCell="A7" sqref="A7"/>
    </sheetView>
  </sheetViews>
  <sheetFormatPr defaultColWidth="8.7109375" defaultRowHeight="14.45"/>
  <cols>
    <col min="1" max="1" width="16" style="1" customWidth="1"/>
    <col min="2" max="2" width="20" style="1" customWidth="1"/>
    <col min="3" max="3" width="14" style="1" customWidth="1"/>
    <col min="4" max="4" width="22" style="1" customWidth="1"/>
    <col min="5" max="5" width="35" style="1" customWidth="1"/>
    <col min="6" max="6" width="55" style="1" customWidth="1"/>
    <col min="7" max="7" width="18" style="1" customWidth="1"/>
    <col min="8" max="8" width="20" style="1" customWidth="1"/>
    <col min="9" max="9" width="22" style="1" customWidth="1"/>
    <col min="10" max="11" width="24" style="1" customWidth="1"/>
    <col min="12" max="12" width="22" style="1" customWidth="1"/>
    <col min="13" max="13" width="30" style="1" customWidth="1"/>
    <col min="14" max="14" width="22" style="1" customWidth="1"/>
    <col min="15" max="15" width="58" style="1" customWidth="1"/>
    <col min="16" max="17" width="22" style="1" customWidth="1"/>
    <col min="18" max="18" width="34" style="1" customWidth="1"/>
    <col min="19" max="19" width="48" style="1" customWidth="1"/>
    <col min="20" max="20" width="12" style="1" customWidth="1"/>
    <col min="21" max="22" width="18" style="1" customWidth="1"/>
    <col min="23" max="23" width="45" style="1" customWidth="1"/>
    <col min="24" max="24" width="55" style="1" customWidth="1"/>
  </cols>
  <sheetData>
    <row r="1" spans="1:24" ht="27.75" customHeight="1">
      <c r="A1" s="23" t="s">
        <v>614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</row>
    <row r="2" spans="1:24" ht="33.75" customHeight="1">
      <c r="A2" s="22" t="s">
        <v>615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 spans="1:24" ht="33.75" customHeight="1">
      <c r="A3" s="2" t="s">
        <v>616</v>
      </c>
      <c r="B3" s="2" t="s">
        <v>617</v>
      </c>
      <c r="C3" s="2" t="s">
        <v>618</v>
      </c>
      <c r="D3" s="2" t="s">
        <v>619</v>
      </c>
      <c r="E3" s="2" t="s">
        <v>620</v>
      </c>
      <c r="F3" s="2" t="s">
        <v>621</v>
      </c>
      <c r="G3" s="2" t="s">
        <v>622</v>
      </c>
      <c r="H3" s="2" t="s">
        <v>623</v>
      </c>
      <c r="I3" s="2" t="s">
        <v>624</v>
      </c>
      <c r="J3" s="2" t="s">
        <v>625</v>
      </c>
      <c r="K3" s="2" t="s">
        <v>626</v>
      </c>
      <c r="L3" s="2" t="s">
        <v>627</v>
      </c>
      <c r="M3" s="2" t="s">
        <v>628</v>
      </c>
      <c r="N3" s="2" t="s">
        <v>629</v>
      </c>
      <c r="O3" s="2" t="s">
        <v>630</v>
      </c>
      <c r="P3" s="2" t="s">
        <v>631</v>
      </c>
      <c r="Q3" s="2" t="s">
        <v>632</v>
      </c>
      <c r="R3" s="2" t="s">
        <v>633</v>
      </c>
      <c r="S3" s="2" t="s">
        <v>634</v>
      </c>
      <c r="T3" s="2" t="s">
        <v>635</v>
      </c>
      <c r="U3" s="2" t="s">
        <v>636</v>
      </c>
      <c r="V3" s="2" t="s">
        <v>598</v>
      </c>
      <c r="W3" s="2" t="s">
        <v>637</v>
      </c>
      <c r="X3" s="2" t="s">
        <v>638</v>
      </c>
    </row>
    <row r="4" spans="1:24" ht="23.25" customHeight="1">
      <c r="A4" s="13" t="s">
        <v>639</v>
      </c>
      <c r="B4" s="13" t="s">
        <v>640</v>
      </c>
      <c r="C4" s="13" t="s">
        <v>641</v>
      </c>
      <c r="D4" s="13" t="s">
        <v>642</v>
      </c>
      <c r="E4" s="13" t="s">
        <v>643</v>
      </c>
      <c r="F4" s="13" t="s">
        <v>644</v>
      </c>
      <c r="G4" s="13" t="s">
        <v>645</v>
      </c>
      <c r="H4" s="13">
        <v>70000</v>
      </c>
      <c r="I4" s="13" t="s">
        <v>646</v>
      </c>
      <c r="J4" s="13">
        <v>34723</v>
      </c>
      <c r="K4" s="13">
        <v>54.2</v>
      </c>
      <c r="L4" s="13"/>
      <c r="M4" s="13"/>
      <c r="N4" s="13"/>
      <c r="O4" s="13" t="s">
        <v>647</v>
      </c>
      <c r="P4" s="14">
        <f>IFERROR(H4*LOOKUP(2,1/(Emission_Factor!$H$4:$H$100="Approved"),Emission_Factor!$B$4:$B$100),"")</f>
        <v>51800</v>
      </c>
      <c r="Q4" s="15">
        <f>IFERROR(H4*LOOKUP(2,1/(Tariff!$D$4:$D$100&lt;&gt;""),Tariff!$D$4:$D$100),"")</f>
        <v>35707</v>
      </c>
      <c r="R4" s="13" t="s">
        <v>648</v>
      </c>
      <c r="S4" s="13" t="s">
        <v>648</v>
      </c>
      <c r="T4" s="13" t="s">
        <v>649</v>
      </c>
      <c r="U4" s="13" t="s">
        <v>641</v>
      </c>
      <c r="V4" s="13" t="s">
        <v>650</v>
      </c>
      <c r="W4" s="13" t="s">
        <v>651</v>
      </c>
      <c r="X4" s="13" t="s">
        <v>652</v>
      </c>
    </row>
    <row r="5" spans="1:24" ht="23.25" customHeight="1">
      <c r="A5" s="13" t="s">
        <v>653</v>
      </c>
      <c r="B5" s="13" t="s">
        <v>640</v>
      </c>
      <c r="C5" s="13" t="s">
        <v>641</v>
      </c>
      <c r="D5" s="13" t="s">
        <v>642</v>
      </c>
      <c r="E5" s="13" t="s">
        <v>654</v>
      </c>
      <c r="F5" s="13" t="s">
        <v>655</v>
      </c>
      <c r="G5" s="13" t="s">
        <v>645</v>
      </c>
      <c r="H5" s="13">
        <v>36500</v>
      </c>
      <c r="I5" s="13" t="s">
        <v>646</v>
      </c>
      <c r="J5" s="13">
        <v>18260</v>
      </c>
      <c r="K5" s="13">
        <v>28.3</v>
      </c>
      <c r="L5" s="13"/>
      <c r="M5" s="13"/>
      <c r="N5" s="13"/>
      <c r="O5" s="13" t="s">
        <v>647</v>
      </c>
      <c r="P5" s="14">
        <f>IFERROR(H5*LOOKUP(2,1/(Emission_Factor!$H$4:$H$100="Approved"),Emission_Factor!$B$4:$B$100),"")</f>
        <v>27010</v>
      </c>
      <c r="Q5" s="15">
        <f>IFERROR(H5*LOOKUP(2,1/(Tariff!$D$4:$D$100&lt;&gt;""),Tariff!$D$4:$D$100),"")</f>
        <v>18618.650000000001</v>
      </c>
      <c r="R5" s="13" t="s">
        <v>648</v>
      </c>
      <c r="S5" s="13" t="s">
        <v>648</v>
      </c>
      <c r="T5" s="13" t="s">
        <v>649</v>
      </c>
      <c r="U5" s="13" t="s">
        <v>641</v>
      </c>
      <c r="V5" s="13" t="s">
        <v>650</v>
      </c>
      <c r="W5" s="13" t="s">
        <v>651</v>
      </c>
      <c r="X5" s="13" t="s">
        <v>652</v>
      </c>
    </row>
    <row r="6" spans="1:24" ht="23.25" customHeight="1">
      <c r="A6" s="13" t="s">
        <v>656</v>
      </c>
      <c r="B6" s="13" t="s">
        <v>640</v>
      </c>
      <c r="C6" s="13" t="s">
        <v>641</v>
      </c>
      <c r="D6" s="13" t="s">
        <v>642</v>
      </c>
      <c r="E6" s="13" t="s">
        <v>657</v>
      </c>
      <c r="F6" s="13" t="s">
        <v>658</v>
      </c>
      <c r="G6" s="13" t="s">
        <v>645</v>
      </c>
      <c r="H6" s="13">
        <v>56000</v>
      </c>
      <c r="I6" s="13" t="s">
        <v>646</v>
      </c>
      <c r="J6" s="13">
        <v>27908</v>
      </c>
      <c r="K6" s="13">
        <v>43.3</v>
      </c>
      <c r="L6" s="13"/>
      <c r="M6" s="13"/>
      <c r="N6" s="13"/>
      <c r="O6" s="13" t="s">
        <v>647</v>
      </c>
      <c r="P6" s="14">
        <f>IFERROR(H6*LOOKUP(2,1/(Emission_Factor!$H$4:$H$100="Approved"),Emission_Factor!$B$4:$B$100),"")</f>
        <v>41440</v>
      </c>
      <c r="Q6" s="15">
        <f>IFERROR(H6*LOOKUP(2,1/(Tariff!$D$4:$D$100&lt;&gt;""),Tariff!$D$4:$D$100),"")</f>
        <v>28565.599999999999</v>
      </c>
      <c r="R6" s="13" t="s">
        <v>648</v>
      </c>
      <c r="S6" s="13" t="s">
        <v>648</v>
      </c>
      <c r="T6" s="13" t="s">
        <v>649</v>
      </c>
      <c r="U6" s="13" t="s">
        <v>641</v>
      </c>
      <c r="V6" s="13" t="s">
        <v>650</v>
      </c>
      <c r="W6" s="13" t="s">
        <v>651</v>
      </c>
      <c r="X6" s="13" t="s">
        <v>652</v>
      </c>
    </row>
    <row r="7" spans="1:24" ht="23.25" customHeight="1">
      <c r="A7" s="13" t="s">
        <v>659</v>
      </c>
      <c r="B7" s="13" t="s">
        <v>640</v>
      </c>
      <c r="C7" s="13" t="s">
        <v>641</v>
      </c>
      <c r="D7" s="13" t="s">
        <v>642</v>
      </c>
      <c r="E7" s="13" t="s">
        <v>660</v>
      </c>
      <c r="F7" s="13" t="s">
        <v>661</v>
      </c>
      <c r="G7" s="13" t="s">
        <v>645</v>
      </c>
      <c r="H7" s="13">
        <v>38082</v>
      </c>
      <c r="I7" s="13" t="s">
        <v>646</v>
      </c>
      <c r="J7" s="13">
        <v>19041</v>
      </c>
      <c r="K7" s="13">
        <v>29.5</v>
      </c>
      <c r="L7" s="13"/>
      <c r="M7" s="13"/>
      <c r="N7" s="13"/>
      <c r="O7" s="13" t="s">
        <v>647</v>
      </c>
      <c r="P7" s="14">
        <f>IFERROR(H7*LOOKUP(2,1/(Emission_Factor!$H$4:$H$100="Approved"),Emission_Factor!$B$4:$B$100),"")</f>
        <v>28180.68</v>
      </c>
      <c r="Q7" s="15">
        <f>IFERROR(H7*LOOKUP(2,1/(Tariff!$D$4:$D$100&lt;&gt;""),Tariff!$D$4:$D$100),"")</f>
        <v>19425.628199999999</v>
      </c>
      <c r="R7" s="13" t="s">
        <v>648</v>
      </c>
      <c r="S7" s="13" t="s">
        <v>648</v>
      </c>
      <c r="T7" s="13" t="s">
        <v>649</v>
      </c>
      <c r="U7" s="13" t="s">
        <v>641</v>
      </c>
      <c r="V7" s="13" t="s">
        <v>650</v>
      </c>
      <c r="W7" s="13" t="s">
        <v>651</v>
      </c>
      <c r="X7" s="13" t="s">
        <v>652</v>
      </c>
    </row>
    <row r="8" spans="1:24" ht="23.25" customHeight="1">
      <c r="A8" s="13" t="s">
        <v>662</v>
      </c>
      <c r="B8" s="13" t="s">
        <v>640</v>
      </c>
      <c r="C8" s="13" t="s">
        <v>641</v>
      </c>
      <c r="D8" s="13" t="s">
        <v>663</v>
      </c>
      <c r="E8" s="13" t="s">
        <v>664</v>
      </c>
      <c r="F8" s="13" t="s">
        <v>665</v>
      </c>
      <c r="G8" s="13" t="s">
        <v>645</v>
      </c>
      <c r="H8" s="13">
        <v>48000</v>
      </c>
      <c r="I8" s="13" t="s">
        <v>646</v>
      </c>
      <c r="J8" s="13">
        <v>24161</v>
      </c>
      <c r="K8" s="13">
        <v>37.200000000000003</v>
      </c>
      <c r="L8" s="13"/>
      <c r="M8" s="13"/>
      <c r="N8" s="13"/>
      <c r="O8" s="13" t="s">
        <v>647</v>
      </c>
      <c r="P8" s="14">
        <f>IFERROR(H8*LOOKUP(2,1/(Emission_Factor!$H$4:$H$100="Approved"),Emission_Factor!$B$4:$B$100),"")</f>
        <v>35520</v>
      </c>
      <c r="Q8" s="15">
        <f>IFERROR(H8*LOOKUP(2,1/(Tariff!$D$4:$D$100&lt;&gt;""),Tariff!$D$4:$D$100),"")</f>
        <v>24484.799999999999</v>
      </c>
      <c r="R8" s="13" t="s">
        <v>648</v>
      </c>
      <c r="S8" s="13" t="s">
        <v>648</v>
      </c>
      <c r="T8" s="13" t="s">
        <v>649</v>
      </c>
      <c r="U8" s="13" t="s">
        <v>641</v>
      </c>
      <c r="V8" s="13" t="s">
        <v>650</v>
      </c>
      <c r="W8" s="13" t="s">
        <v>651</v>
      </c>
      <c r="X8" s="13" t="s">
        <v>652</v>
      </c>
    </row>
    <row r="9" spans="1:24" ht="23.25" customHeight="1">
      <c r="A9" s="13" t="s">
        <v>666</v>
      </c>
      <c r="B9" s="13" t="s">
        <v>640</v>
      </c>
      <c r="C9" s="13" t="s">
        <v>667</v>
      </c>
      <c r="D9" s="13" t="s">
        <v>668</v>
      </c>
      <c r="E9" s="13" t="s">
        <v>669</v>
      </c>
      <c r="F9" s="13" t="s">
        <v>670</v>
      </c>
      <c r="G9" s="13" t="s">
        <v>645</v>
      </c>
      <c r="H9" s="13">
        <v>57500</v>
      </c>
      <c r="I9" s="13" t="s">
        <v>646</v>
      </c>
      <c r="J9" s="13">
        <v>28750</v>
      </c>
      <c r="K9" s="13">
        <v>44.5</v>
      </c>
      <c r="L9" s="13"/>
      <c r="M9" s="13"/>
      <c r="N9" s="13"/>
      <c r="O9" s="13" t="s">
        <v>647</v>
      </c>
      <c r="P9" s="14">
        <f>IFERROR(H9*LOOKUP(2,1/(Emission_Factor!$H$4:$H$100="Approved"),Emission_Factor!$B$4:$B$100),"")</f>
        <v>42550</v>
      </c>
      <c r="Q9" s="15">
        <f>IFERROR(H9*LOOKUP(2,1/(Tariff!$D$4:$D$100&lt;&gt;""),Tariff!$D$4:$D$100),"")</f>
        <v>29330.75</v>
      </c>
      <c r="R9" s="13" t="s">
        <v>648</v>
      </c>
      <c r="S9" s="13" t="s">
        <v>648</v>
      </c>
      <c r="T9" s="13" t="s">
        <v>649</v>
      </c>
      <c r="U9" s="13" t="s">
        <v>667</v>
      </c>
      <c r="V9" s="13" t="s">
        <v>650</v>
      </c>
      <c r="W9" s="13" t="s">
        <v>651</v>
      </c>
      <c r="X9" s="13" t="s">
        <v>652</v>
      </c>
    </row>
    <row r="10" spans="1:24" ht="23.25" customHeight="1">
      <c r="A10" s="13" t="s">
        <v>671</v>
      </c>
      <c r="B10" s="13" t="s">
        <v>640</v>
      </c>
      <c r="C10" s="13" t="s">
        <v>641</v>
      </c>
      <c r="D10" s="13" t="s">
        <v>672</v>
      </c>
      <c r="E10" s="13" t="s">
        <v>673</v>
      </c>
      <c r="F10" s="13" t="s">
        <v>674</v>
      </c>
      <c r="G10" s="13" t="s">
        <v>645</v>
      </c>
      <c r="H10" s="13"/>
      <c r="I10" s="13" t="s">
        <v>646</v>
      </c>
      <c r="J10" s="13">
        <v>36000</v>
      </c>
      <c r="K10" s="13"/>
      <c r="L10" s="13"/>
      <c r="M10" s="13"/>
      <c r="N10" s="13"/>
      <c r="O10" s="13" t="s">
        <v>647</v>
      </c>
      <c r="P10" s="13"/>
      <c r="Q10" s="13"/>
      <c r="R10" s="13" t="s">
        <v>648</v>
      </c>
      <c r="S10" s="13" t="s">
        <v>648</v>
      </c>
      <c r="T10" s="13" t="s">
        <v>649</v>
      </c>
      <c r="U10" s="13" t="s">
        <v>641</v>
      </c>
      <c r="V10" s="13" t="s">
        <v>650</v>
      </c>
      <c r="W10" s="13" t="s">
        <v>651</v>
      </c>
      <c r="X10" s="13" t="s">
        <v>652</v>
      </c>
    </row>
    <row r="11" spans="1:24" ht="23.25" customHeight="1">
      <c r="A11" s="13" t="s">
        <v>675</v>
      </c>
      <c r="B11" s="13" t="s">
        <v>640</v>
      </c>
      <c r="C11" s="13" t="s">
        <v>641</v>
      </c>
      <c r="D11" s="13" t="s">
        <v>676</v>
      </c>
      <c r="E11" s="13" t="s">
        <v>677</v>
      </c>
      <c r="F11" s="13" t="s">
        <v>678</v>
      </c>
      <c r="G11" s="13" t="s">
        <v>645</v>
      </c>
      <c r="H11" s="13">
        <v>41000</v>
      </c>
      <c r="I11" s="13" t="s">
        <v>646</v>
      </c>
      <c r="J11" s="13">
        <v>20500</v>
      </c>
      <c r="K11" s="13">
        <v>31.7</v>
      </c>
      <c r="L11" s="13"/>
      <c r="M11" s="13"/>
      <c r="N11" s="13"/>
      <c r="O11" s="13" t="s">
        <v>647</v>
      </c>
      <c r="P11" s="14">
        <f>IFERROR(H11*LOOKUP(2,1/(Emission_Factor!$H$4:$H$100="Approved"),Emission_Factor!$B$4:$B$100),"")</f>
        <v>30340</v>
      </c>
      <c r="Q11" s="15">
        <f>IFERROR(H11*LOOKUP(2,1/(Tariff!$D$4:$D$100&lt;&gt;""),Tariff!$D$4:$D$100),"")</f>
        <v>20914.099999999999</v>
      </c>
      <c r="R11" s="13" t="s">
        <v>648</v>
      </c>
      <c r="S11" s="13" t="s">
        <v>648</v>
      </c>
      <c r="T11" s="13" t="s">
        <v>649</v>
      </c>
      <c r="U11" s="13" t="s">
        <v>641</v>
      </c>
      <c r="V11" s="13" t="s">
        <v>650</v>
      </c>
      <c r="W11" s="13" t="s">
        <v>651</v>
      </c>
      <c r="X11" s="13" t="s">
        <v>652</v>
      </c>
    </row>
    <row r="12" spans="1:24" ht="23.25" customHeight="1">
      <c r="A12" s="13" t="s">
        <v>679</v>
      </c>
      <c r="B12" s="13" t="s">
        <v>640</v>
      </c>
      <c r="C12" s="13" t="s">
        <v>641</v>
      </c>
      <c r="D12" s="13" t="s">
        <v>676</v>
      </c>
      <c r="E12" s="13" t="s">
        <v>680</v>
      </c>
      <c r="F12" s="13" t="s">
        <v>681</v>
      </c>
      <c r="G12" s="13" t="s">
        <v>645</v>
      </c>
      <c r="H12" s="13">
        <v>58100</v>
      </c>
      <c r="I12" s="13" t="s">
        <v>646</v>
      </c>
      <c r="J12" s="13">
        <v>29050</v>
      </c>
      <c r="K12" s="13">
        <v>45</v>
      </c>
      <c r="L12" s="13"/>
      <c r="M12" s="13"/>
      <c r="N12" s="13"/>
      <c r="O12" s="13" t="s">
        <v>647</v>
      </c>
      <c r="P12" s="14">
        <f>IFERROR(H12*LOOKUP(2,1/(Emission_Factor!$H$4:$H$100="Approved"),Emission_Factor!$B$4:$B$100),"")</f>
        <v>42994</v>
      </c>
      <c r="Q12" s="15">
        <f>IFERROR(H12*LOOKUP(2,1/(Tariff!$D$4:$D$100&lt;&gt;""),Tariff!$D$4:$D$100),"")</f>
        <v>29636.81</v>
      </c>
      <c r="R12" s="13" t="s">
        <v>648</v>
      </c>
      <c r="S12" s="13" t="s">
        <v>648</v>
      </c>
      <c r="T12" s="13" t="s">
        <v>649</v>
      </c>
      <c r="U12" s="13" t="s">
        <v>641</v>
      </c>
      <c r="V12" s="13" t="s">
        <v>650</v>
      </c>
      <c r="W12" s="13" t="s">
        <v>651</v>
      </c>
      <c r="X12" s="13" t="s">
        <v>652</v>
      </c>
    </row>
    <row r="13" spans="1:24" ht="23.25" customHeight="1">
      <c r="A13" s="13" t="s">
        <v>682</v>
      </c>
      <c r="B13" s="13" t="s">
        <v>640</v>
      </c>
      <c r="C13" s="13" t="s">
        <v>641</v>
      </c>
      <c r="D13" s="13" t="s">
        <v>683</v>
      </c>
      <c r="E13" s="13" t="s">
        <v>684</v>
      </c>
      <c r="F13" s="13" t="s">
        <v>685</v>
      </c>
      <c r="G13" s="13" t="s">
        <v>686</v>
      </c>
      <c r="H13" s="13"/>
      <c r="I13" s="13" t="s">
        <v>646</v>
      </c>
      <c r="J13" s="13"/>
      <c r="K13" s="13"/>
      <c r="L13" s="13"/>
      <c r="M13" s="13"/>
      <c r="N13" s="13"/>
      <c r="O13" s="13" t="s">
        <v>687</v>
      </c>
      <c r="P13" s="13"/>
      <c r="Q13" s="13"/>
      <c r="R13" s="13" t="s">
        <v>648</v>
      </c>
      <c r="S13" s="13" t="s">
        <v>648</v>
      </c>
      <c r="T13" s="13" t="s">
        <v>688</v>
      </c>
      <c r="U13" s="13" t="s">
        <v>641</v>
      </c>
      <c r="V13" s="13" t="s">
        <v>650</v>
      </c>
      <c r="W13" s="13" t="s">
        <v>651</v>
      </c>
      <c r="X13" s="13" t="s">
        <v>652</v>
      </c>
    </row>
    <row r="14" spans="1:24" ht="23.25" customHeight="1">
      <c r="A14" s="13" t="s">
        <v>689</v>
      </c>
      <c r="B14" s="13" t="s">
        <v>640</v>
      </c>
      <c r="C14" s="13" t="s">
        <v>641</v>
      </c>
      <c r="D14" s="13" t="s">
        <v>690</v>
      </c>
      <c r="E14" s="13" t="s">
        <v>691</v>
      </c>
      <c r="F14" s="13" t="s">
        <v>692</v>
      </c>
      <c r="G14" s="13" t="s">
        <v>686</v>
      </c>
      <c r="H14" s="13"/>
      <c r="I14" s="13" t="s">
        <v>646</v>
      </c>
      <c r="J14" s="13"/>
      <c r="K14" s="13"/>
      <c r="L14" s="13"/>
      <c r="M14" s="13"/>
      <c r="N14" s="13"/>
      <c r="O14" s="13" t="s">
        <v>687</v>
      </c>
      <c r="P14" s="13"/>
      <c r="Q14" s="13"/>
      <c r="R14" s="13" t="s">
        <v>648</v>
      </c>
      <c r="S14" s="13" t="s">
        <v>648</v>
      </c>
      <c r="T14" s="13" t="s">
        <v>688</v>
      </c>
      <c r="U14" s="13" t="s">
        <v>641</v>
      </c>
      <c r="V14" s="13" t="s">
        <v>650</v>
      </c>
      <c r="W14" s="13" t="s">
        <v>651</v>
      </c>
      <c r="X14" s="13" t="s">
        <v>652</v>
      </c>
    </row>
    <row r="15" spans="1:24" ht="23.25" customHeight="1">
      <c r="A15" s="13" t="s">
        <v>693</v>
      </c>
      <c r="B15" s="13" t="s">
        <v>640</v>
      </c>
      <c r="C15" s="13" t="s">
        <v>667</v>
      </c>
      <c r="D15" s="13" t="s">
        <v>668</v>
      </c>
      <c r="E15" s="13" t="s">
        <v>694</v>
      </c>
      <c r="F15" s="13" t="s">
        <v>695</v>
      </c>
      <c r="G15" s="13" t="s">
        <v>645</v>
      </c>
      <c r="H15" s="13"/>
      <c r="I15" s="13" t="s">
        <v>646</v>
      </c>
      <c r="J15" s="13"/>
      <c r="K15" s="13">
        <v>12.5</v>
      </c>
      <c r="L15" s="13"/>
      <c r="M15" s="13"/>
      <c r="N15" s="13"/>
      <c r="O15" s="13" t="s">
        <v>647</v>
      </c>
      <c r="P15" s="13"/>
      <c r="Q15" s="13"/>
      <c r="R15" s="13" t="s">
        <v>648</v>
      </c>
      <c r="S15" s="13" t="s">
        <v>648</v>
      </c>
      <c r="T15" s="13" t="s">
        <v>688</v>
      </c>
      <c r="U15" s="13" t="s">
        <v>667</v>
      </c>
      <c r="V15" s="13" t="s">
        <v>650</v>
      </c>
      <c r="W15" s="13" t="s">
        <v>651</v>
      </c>
      <c r="X15" s="13" t="s">
        <v>652</v>
      </c>
    </row>
    <row r="16" spans="1:24" ht="23.25" customHeight="1">
      <c r="A16" s="13" t="s">
        <v>696</v>
      </c>
      <c r="B16" s="13" t="s">
        <v>697</v>
      </c>
      <c r="C16" s="13" t="s">
        <v>698</v>
      </c>
      <c r="D16" s="13" t="s">
        <v>699</v>
      </c>
      <c r="E16" s="13" t="s">
        <v>700</v>
      </c>
      <c r="F16" s="13" t="s">
        <v>701</v>
      </c>
      <c r="G16" s="13" t="s">
        <v>702</v>
      </c>
      <c r="H16" s="13">
        <v>7.2</v>
      </c>
      <c r="I16" s="13" t="s">
        <v>703</v>
      </c>
      <c r="J16" s="13"/>
      <c r="K16" s="13"/>
      <c r="L16" s="13">
        <v>15</v>
      </c>
      <c r="M16" s="13">
        <v>2</v>
      </c>
      <c r="N16" s="13">
        <v>240</v>
      </c>
      <c r="O16" s="13" t="s">
        <v>704</v>
      </c>
      <c r="P16" s="14">
        <f>IFERROR(H16*LOOKUP(2,1/(Emission_Factor!$H$4:$H$100="Approved"),Emission_Factor!$B$4:$B$100),"")</f>
        <v>5.3280000000000003</v>
      </c>
      <c r="Q16" s="15">
        <f>IFERROR(H16*LOOKUP(2,1/(Tariff!$D$4:$D$100&lt;&gt;""),Tariff!$D$4:$D$100),"")</f>
        <v>3.67272</v>
      </c>
      <c r="R16" s="13" t="s">
        <v>705</v>
      </c>
      <c r="S16" s="13" t="s">
        <v>706</v>
      </c>
      <c r="T16" s="13" t="s">
        <v>688</v>
      </c>
      <c r="U16" s="13" t="s">
        <v>698</v>
      </c>
      <c r="V16" s="13" t="s">
        <v>650</v>
      </c>
      <c r="W16" s="13" t="s">
        <v>707</v>
      </c>
      <c r="X16" s="13" t="s">
        <v>708</v>
      </c>
    </row>
    <row r="17" spans="1:24" ht="23.25" customHeight="1">
      <c r="A17" s="13" t="s">
        <v>709</v>
      </c>
      <c r="B17" s="13" t="s">
        <v>697</v>
      </c>
      <c r="C17" s="13" t="s">
        <v>698</v>
      </c>
      <c r="D17" s="13" t="s">
        <v>699</v>
      </c>
      <c r="E17" s="13" t="s">
        <v>710</v>
      </c>
      <c r="F17" s="13" t="s">
        <v>711</v>
      </c>
      <c r="G17" s="13" t="s">
        <v>702</v>
      </c>
      <c r="H17" s="13">
        <v>4.4000000000000004</v>
      </c>
      <c r="I17" s="13" t="s">
        <v>703</v>
      </c>
      <c r="J17" s="13"/>
      <c r="K17" s="13"/>
      <c r="L17" s="13">
        <v>20</v>
      </c>
      <c r="M17" s="13">
        <v>1</v>
      </c>
      <c r="N17" s="13">
        <v>220</v>
      </c>
      <c r="O17" s="13" t="s">
        <v>712</v>
      </c>
      <c r="P17" s="14">
        <f>IFERROR(H17*LOOKUP(2,1/(Emission_Factor!$H$4:$H$100="Approved"),Emission_Factor!$B$4:$B$100),"")</f>
        <v>3.2560000000000002</v>
      </c>
      <c r="Q17" s="15">
        <f>IFERROR(H17*LOOKUP(2,1/(Tariff!$D$4:$D$100&lt;&gt;""),Tariff!$D$4:$D$100),"")</f>
        <v>2.24444</v>
      </c>
      <c r="R17" s="13" t="s">
        <v>713</v>
      </c>
      <c r="S17" s="13" t="s">
        <v>714</v>
      </c>
      <c r="T17" s="13" t="s">
        <v>688</v>
      </c>
      <c r="U17" s="13" t="s">
        <v>698</v>
      </c>
      <c r="V17" s="13" t="s">
        <v>650</v>
      </c>
      <c r="W17" s="13" t="s">
        <v>707</v>
      </c>
      <c r="X17" s="13" t="s">
        <v>708</v>
      </c>
    </row>
    <row r="18" spans="1:24" ht="23.25" customHeight="1">
      <c r="A18" s="13" t="s">
        <v>715</v>
      </c>
      <c r="B18" s="13" t="s">
        <v>697</v>
      </c>
      <c r="C18" s="13" t="s">
        <v>698</v>
      </c>
      <c r="D18" s="13" t="s">
        <v>699</v>
      </c>
      <c r="E18" s="13" t="s">
        <v>700</v>
      </c>
      <c r="F18" s="13" t="s">
        <v>716</v>
      </c>
      <c r="G18" s="13" t="s">
        <v>702</v>
      </c>
      <c r="H18" s="13">
        <v>16.8</v>
      </c>
      <c r="I18" s="13" t="s">
        <v>703</v>
      </c>
      <c r="J18" s="13"/>
      <c r="K18" s="13"/>
      <c r="L18" s="13">
        <v>5</v>
      </c>
      <c r="M18" s="13">
        <v>14</v>
      </c>
      <c r="N18" s="13">
        <v>240</v>
      </c>
      <c r="O18" s="13" t="s">
        <v>717</v>
      </c>
      <c r="P18" s="14">
        <f>IFERROR(H18*LOOKUP(2,1/(Emission_Factor!$H$4:$H$100="Approved"),Emission_Factor!$B$4:$B$100),"")</f>
        <v>12.432</v>
      </c>
      <c r="Q18" s="15">
        <f>IFERROR(H18*LOOKUP(2,1/(Tariff!$D$4:$D$100&lt;&gt;""),Tariff!$D$4:$D$100),"")</f>
        <v>8.56968</v>
      </c>
      <c r="R18" s="13" t="s">
        <v>713</v>
      </c>
      <c r="S18" s="13" t="s">
        <v>714</v>
      </c>
      <c r="T18" s="13" t="s">
        <v>718</v>
      </c>
      <c r="U18" s="13" t="s">
        <v>698</v>
      </c>
      <c r="V18" s="13" t="s">
        <v>650</v>
      </c>
      <c r="W18" s="13" t="s">
        <v>707</v>
      </c>
      <c r="X18" s="13" t="s">
        <v>708</v>
      </c>
    </row>
    <row r="19" spans="1:24" ht="34.5" customHeight="1">
      <c r="A19" s="13" t="s">
        <v>719</v>
      </c>
      <c r="B19" s="13" t="s">
        <v>697</v>
      </c>
      <c r="C19" s="13" t="s">
        <v>698</v>
      </c>
      <c r="D19" s="13" t="s">
        <v>720</v>
      </c>
      <c r="E19" s="13" t="s">
        <v>721</v>
      </c>
      <c r="F19" s="13" t="s">
        <v>722</v>
      </c>
      <c r="G19" s="13" t="s">
        <v>702</v>
      </c>
      <c r="H19" s="13">
        <v>48</v>
      </c>
      <c r="I19" s="13" t="s">
        <v>703</v>
      </c>
      <c r="J19" s="13"/>
      <c r="K19" s="13"/>
      <c r="L19" s="13">
        <v>100</v>
      </c>
      <c r="M19" s="13">
        <v>2</v>
      </c>
      <c r="N19" s="13">
        <v>240</v>
      </c>
      <c r="O19" s="13" t="s">
        <v>723</v>
      </c>
      <c r="P19" s="14">
        <f>IFERROR(H19*LOOKUP(2,1/(Emission_Factor!$H$4:$H$100="Approved"),Emission_Factor!$B$4:$B$100),"")</f>
        <v>35.519999999999996</v>
      </c>
      <c r="Q19" s="15">
        <f>IFERROR(H19*LOOKUP(2,1/(Tariff!$D$4:$D$100&lt;&gt;""),Tariff!$D$4:$D$100),"")</f>
        <v>24.4848</v>
      </c>
      <c r="R19" s="13" t="s">
        <v>724</v>
      </c>
      <c r="S19" s="13" t="s">
        <v>725</v>
      </c>
      <c r="T19" s="13" t="s">
        <v>688</v>
      </c>
      <c r="U19" s="13" t="s">
        <v>698</v>
      </c>
      <c r="V19" s="13" t="s">
        <v>650</v>
      </c>
      <c r="W19" s="13" t="s">
        <v>707</v>
      </c>
      <c r="X19" s="13" t="s">
        <v>708</v>
      </c>
    </row>
    <row r="20" spans="1:24" ht="23.25" customHeight="1">
      <c r="A20" s="13" t="s">
        <v>726</v>
      </c>
      <c r="B20" s="13" t="s">
        <v>697</v>
      </c>
      <c r="C20" s="13" t="s">
        <v>698</v>
      </c>
      <c r="D20" s="13" t="s">
        <v>720</v>
      </c>
      <c r="E20" s="13" t="s">
        <v>721</v>
      </c>
      <c r="F20" s="13" t="s">
        <v>727</v>
      </c>
      <c r="G20" s="13" t="s">
        <v>702</v>
      </c>
      <c r="H20" s="13">
        <v>48</v>
      </c>
      <c r="I20" s="13" t="s">
        <v>703</v>
      </c>
      <c r="J20" s="13"/>
      <c r="K20" s="13"/>
      <c r="L20" s="13">
        <v>100</v>
      </c>
      <c r="M20" s="13">
        <v>2</v>
      </c>
      <c r="N20" s="13">
        <v>240</v>
      </c>
      <c r="O20" s="13" t="s">
        <v>728</v>
      </c>
      <c r="P20" s="14">
        <f>IFERROR(H20*LOOKUP(2,1/(Emission_Factor!$H$4:$H$100="Approved"),Emission_Factor!$B$4:$B$100),"")</f>
        <v>35.519999999999996</v>
      </c>
      <c r="Q20" s="15">
        <f>IFERROR(H20*LOOKUP(2,1/(Tariff!$D$4:$D$100&lt;&gt;""),Tariff!$D$4:$D$100),"")</f>
        <v>24.4848</v>
      </c>
      <c r="R20" s="13" t="s">
        <v>713</v>
      </c>
      <c r="S20" s="13" t="s">
        <v>714</v>
      </c>
      <c r="T20" s="13" t="s">
        <v>718</v>
      </c>
      <c r="U20" s="13" t="s">
        <v>698</v>
      </c>
      <c r="V20" s="13" t="s">
        <v>650</v>
      </c>
      <c r="W20" s="13" t="s">
        <v>707</v>
      </c>
      <c r="X20" s="13" t="s">
        <v>708</v>
      </c>
    </row>
    <row r="21" spans="1:24" ht="23.25" customHeight="1">
      <c r="A21" s="13" t="s">
        <v>729</v>
      </c>
      <c r="B21" s="13" t="s">
        <v>697</v>
      </c>
      <c r="C21" s="13" t="s">
        <v>698</v>
      </c>
      <c r="D21" s="13" t="s">
        <v>730</v>
      </c>
      <c r="E21" s="13" t="s">
        <v>731</v>
      </c>
      <c r="F21" s="13" t="s">
        <v>732</v>
      </c>
      <c r="G21" s="13" t="s">
        <v>733</v>
      </c>
      <c r="H21" s="13"/>
      <c r="I21" s="13" t="s">
        <v>703</v>
      </c>
      <c r="J21" s="13"/>
      <c r="K21" s="13"/>
      <c r="L21" s="13"/>
      <c r="M21" s="13"/>
      <c r="N21" s="13"/>
      <c r="O21" s="13" t="s">
        <v>734</v>
      </c>
      <c r="P21" s="13"/>
      <c r="Q21" s="13"/>
      <c r="R21" s="13" t="s">
        <v>735</v>
      </c>
      <c r="S21" s="13" t="s">
        <v>736</v>
      </c>
      <c r="T21" s="13" t="s">
        <v>649</v>
      </c>
      <c r="U21" s="13" t="s">
        <v>698</v>
      </c>
      <c r="V21" s="13" t="s">
        <v>650</v>
      </c>
      <c r="W21" s="13" t="s">
        <v>707</v>
      </c>
      <c r="X21" s="13" t="s">
        <v>708</v>
      </c>
    </row>
    <row r="22" spans="1:24" ht="23.25" customHeight="1">
      <c r="A22" s="13" t="s">
        <v>737</v>
      </c>
      <c r="B22" s="13" t="s">
        <v>697</v>
      </c>
      <c r="C22" s="13" t="s">
        <v>698</v>
      </c>
      <c r="D22" s="13" t="s">
        <v>738</v>
      </c>
      <c r="E22" s="13" t="s">
        <v>739</v>
      </c>
      <c r="F22" s="13" t="s">
        <v>740</v>
      </c>
      <c r="G22" s="13" t="s">
        <v>733</v>
      </c>
      <c r="H22" s="13"/>
      <c r="I22" s="13" t="s">
        <v>703</v>
      </c>
      <c r="J22" s="13"/>
      <c r="K22" s="13"/>
      <c r="L22" s="13"/>
      <c r="M22" s="13"/>
      <c r="N22" s="13"/>
      <c r="O22" s="13" t="s">
        <v>741</v>
      </c>
      <c r="P22" s="13"/>
      <c r="Q22" s="13"/>
      <c r="R22" s="13" t="s">
        <v>742</v>
      </c>
      <c r="S22" s="13" t="s">
        <v>743</v>
      </c>
      <c r="T22" s="13" t="s">
        <v>718</v>
      </c>
      <c r="U22" s="13" t="s">
        <v>698</v>
      </c>
      <c r="V22" s="13" t="s">
        <v>650</v>
      </c>
      <c r="W22" s="13" t="s">
        <v>707</v>
      </c>
      <c r="X22" s="13" t="s">
        <v>708</v>
      </c>
    </row>
    <row r="23" spans="1:24" ht="23.25" customHeight="1">
      <c r="A23" s="13" t="s">
        <v>744</v>
      </c>
      <c r="B23" s="13" t="s">
        <v>697</v>
      </c>
      <c r="C23" s="13" t="s">
        <v>698</v>
      </c>
      <c r="D23" s="13" t="s">
        <v>745</v>
      </c>
      <c r="E23" s="13" t="s">
        <v>746</v>
      </c>
      <c r="F23" s="13" t="s">
        <v>747</v>
      </c>
      <c r="G23" s="13" t="s">
        <v>702</v>
      </c>
      <c r="H23" s="13">
        <v>19.2</v>
      </c>
      <c r="I23" s="13" t="s">
        <v>703</v>
      </c>
      <c r="J23" s="13"/>
      <c r="K23" s="13"/>
      <c r="L23" s="13">
        <v>40</v>
      </c>
      <c r="M23" s="13">
        <v>2</v>
      </c>
      <c r="N23" s="13">
        <v>240</v>
      </c>
      <c r="O23" s="13" t="s">
        <v>748</v>
      </c>
      <c r="P23" s="14">
        <f>IFERROR(H23*LOOKUP(2,1/(Emission_Factor!$H$4:$H$100="Approved"),Emission_Factor!$B$4:$B$100),"")</f>
        <v>14.208</v>
      </c>
      <c r="Q23" s="15">
        <f>IFERROR(H23*LOOKUP(2,1/(Tariff!$D$4:$D$100&lt;&gt;""),Tariff!$D$4:$D$100),"")</f>
        <v>9.79392</v>
      </c>
      <c r="R23" s="13" t="s">
        <v>713</v>
      </c>
      <c r="S23" s="13" t="s">
        <v>714</v>
      </c>
      <c r="T23" s="13" t="s">
        <v>688</v>
      </c>
      <c r="U23" s="13" t="s">
        <v>698</v>
      </c>
      <c r="V23" s="13" t="s">
        <v>650</v>
      </c>
      <c r="W23" s="13" t="s">
        <v>707</v>
      </c>
      <c r="X23" s="13" t="s">
        <v>708</v>
      </c>
    </row>
    <row r="24" spans="1:24" ht="34.5" customHeight="1">
      <c r="A24" s="13" t="s">
        <v>749</v>
      </c>
      <c r="B24" s="13" t="s">
        <v>697</v>
      </c>
      <c r="C24" s="13" t="s">
        <v>698</v>
      </c>
      <c r="D24" s="13" t="s">
        <v>642</v>
      </c>
      <c r="E24" s="13" t="s">
        <v>750</v>
      </c>
      <c r="F24" s="13" t="s">
        <v>751</v>
      </c>
      <c r="G24" s="13" t="s">
        <v>702</v>
      </c>
      <c r="H24" s="13">
        <v>90</v>
      </c>
      <c r="I24" s="13" t="s">
        <v>703</v>
      </c>
      <c r="J24" s="13"/>
      <c r="K24" s="13"/>
      <c r="L24" s="13">
        <v>1500</v>
      </c>
      <c r="M24" s="13">
        <v>1</v>
      </c>
      <c r="N24" s="13">
        <v>60</v>
      </c>
      <c r="O24" s="13" t="s">
        <v>752</v>
      </c>
      <c r="P24" s="14">
        <f>IFERROR(H24*LOOKUP(2,1/(Emission_Factor!$H$4:$H$100="Approved"),Emission_Factor!$B$4:$B$100),"")</f>
        <v>66.599999999999994</v>
      </c>
      <c r="Q24" s="15">
        <f>IFERROR(H24*LOOKUP(2,1/(Tariff!$D$4:$D$100&lt;&gt;""),Tariff!$D$4:$D$100),"")</f>
        <v>45.908999999999999</v>
      </c>
      <c r="R24" s="13" t="s">
        <v>724</v>
      </c>
      <c r="S24" s="13" t="s">
        <v>725</v>
      </c>
      <c r="T24" s="13" t="s">
        <v>718</v>
      </c>
      <c r="U24" s="13" t="s">
        <v>698</v>
      </c>
      <c r="V24" s="13" t="s">
        <v>650</v>
      </c>
      <c r="W24" s="13" t="s">
        <v>707</v>
      </c>
      <c r="X24" s="13" t="s">
        <v>708</v>
      </c>
    </row>
    <row r="25" spans="1:24" ht="34.5" customHeight="1">
      <c r="A25" s="13" t="s">
        <v>753</v>
      </c>
      <c r="B25" s="13" t="s">
        <v>697</v>
      </c>
      <c r="C25" s="13" t="s">
        <v>698</v>
      </c>
      <c r="D25" s="13" t="s">
        <v>683</v>
      </c>
      <c r="E25" s="13" t="s">
        <v>754</v>
      </c>
      <c r="F25" s="13" t="s">
        <v>755</v>
      </c>
      <c r="G25" s="13" t="s">
        <v>702</v>
      </c>
      <c r="H25" s="13">
        <v>19.2</v>
      </c>
      <c r="I25" s="13" t="s">
        <v>703</v>
      </c>
      <c r="J25" s="13"/>
      <c r="K25" s="13"/>
      <c r="L25" s="13">
        <v>40</v>
      </c>
      <c r="M25" s="13">
        <v>2</v>
      </c>
      <c r="N25" s="13">
        <v>240</v>
      </c>
      <c r="O25" s="13" t="s">
        <v>748</v>
      </c>
      <c r="P25" s="14">
        <f>IFERROR(H25*LOOKUP(2,1/(Emission_Factor!$H$4:$H$100="Approved"),Emission_Factor!$B$4:$B$100),"")</f>
        <v>14.208</v>
      </c>
      <c r="Q25" s="15">
        <f>IFERROR(H25*LOOKUP(2,1/(Tariff!$D$4:$D$100&lt;&gt;""),Tariff!$D$4:$D$100),"")</f>
        <v>9.79392</v>
      </c>
      <c r="R25" s="13" t="s">
        <v>724</v>
      </c>
      <c r="S25" s="13" t="s">
        <v>725</v>
      </c>
      <c r="T25" s="13" t="s">
        <v>688</v>
      </c>
      <c r="U25" s="13" t="s">
        <v>698</v>
      </c>
      <c r="V25" s="13" t="s">
        <v>650</v>
      </c>
      <c r="W25" s="13" t="s">
        <v>707</v>
      </c>
      <c r="X25" s="13" t="s">
        <v>708</v>
      </c>
    </row>
    <row r="26" spans="1:24" ht="34.5" customHeight="1">
      <c r="A26" s="13" t="s">
        <v>756</v>
      </c>
      <c r="B26" s="13" t="s">
        <v>697</v>
      </c>
      <c r="C26" s="13" t="s">
        <v>698</v>
      </c>
      <c r="D26" s="13" t="s">
        <v>757</v>
      </c>
      <c r="E26" s="13" t="s">
        <v>758</v>
      </c>
      <c r="F26" s="13" t="s">
        <v>759</v>
      </c>
      <c r="G26" s="13" t="s">
        <v>702</v>
      </c>
      <c r="H26" s="13">
        <v>50</v>
      </c>
      <c r="I26" s="13" t="s">
        <v>703</v>
      </c>
      <c r="J26" s="13"/>
      <c r="K26" s="13"/>
      <c r="L26" s="13">
        <v>500</v>
      </c>
      <c r="M26" s="13">
        <v>2</v>
      </c>
      <c r="N26" s="13">
        <v>50</v>
      </c>
      <c r="O26" s="13" t="s">
        <v>760</v>
      </c>
      <c r="P26" s="14">
        <f>IFERROR(H26*LOOKUP(2,1/(Emission_Factor!$H$4:$H$100="Approved"),Emission_Factor!$B$4:$B$100),"")</f>
        <v>37</v>
      </c>
      <c r="Q26" s="15">
        <f>IFERROR(H26*LOOKUP(2,1/(Tariff!$D$4:$D$100&lt;&gt;""),Tariff!$D$4:$D$100),"")</f>
        <v>25.504999999999999</v>
      </c>
      <c r="R26" s="13" t="s">
        <v>724</v>
      </c>
      <c r="S26" s="13" t="s">
        <v>725</v>
      </c>
      <c r="T26" s="13" t="s">
        <v>718</v>
      </c>
      <c r="U26" s="13" t="s">
        <v>698</v>
      </c>
      <c r="V26" s="13" t="s">
        <v>650</v>
      </c>
      <c r="W26" s="13" t="s">
        <v>707</v>
      </c>
      <c r="X26" s="13" t="s">
        <v>708</v>
      </c>
    </row>
    <row r="27" spans="1:24" ht="34.5" customHeight="1">
      <c r="A27" s="13" t="s">
        <v>761</v>
      </c>
      <c r="B27" s="13" t="s">
        <v>697</v>
      </c>
      <c r="C27" s="13" t="s">
        <v>698</v>
      </c>
      <c r="D27" s="13" t="s">
        <v>720</v>
      </c>
      <c r="E27" s="13" t="s">
        <v>762</v>
      </c>
      <c r="F27" s="13" t="s">
        <v>763</v>
      </c>
      <c r="G27" s="13" t="s">
        <v>702</v>
      </c>
      <c r="H27" s="13">
        <v>15</v>
      </c>
      <c r="I27" s="13" t="s">
        <v>703</v>
      </c>
      <c r="J27" s="13"/>
      <c r="K27" s="13"/>
      <c r="L27" s="13">
        <v>150</v>
      </c>
      <c r="M27" s="13">
        <v>1</v>
      </c>
      <c r="N27" s="13">
        <v>100</v>
      </c>
      <c r="O27" s="13" t="s">
        <v>764</v>
      </c>
      <c r="P27" s="14">
        <f>IFERROR(H27*LOOKUP(2,1/(Emission_Factor!$H$4:$H$100="Approved"),Emission_Factor!$B$4:$B$100),"")</f>
        <v>11.1</v>
      </c>
      <c r="Q27" s="15">
        <f>IFERROR(H27*LOOKUP(2,1/(Tariff!$D$4:$D$100&lt;&gt;""),Tariff!$D$4:$D$100),"")</f>
        <v>7.6515000000000004</v>
      </c>
      <c r="R27" s="13" t="s">
        <v>724</v>
      </c>
      <c r="S27" s="13" t="s">
        <v>725</v>
      </c>
      <c r="T27" s="13" t="s">
        <v>718</v>
      </c>
      <c r="U27" s="13" t="s">
        <v>698</v>
      </c>
      <c r="V27" s="13" t="s">
        <v>650</v>
      </c>
      <c r="W27" s="13" t="s">
        <v>707</v>
      </c>
      <c r="X27" s="13" t="s">
        <v>708</v>
      </c>
    </row>
    <row r="28" spans="1:24" ht="23.25" customHeight="1">
      <c r="A28" s="13" t="s">
        <v>765</v>
      </c>
      <c r="B28" s="13" t="s">
        <v>697</v>
      </c>
      <c r="C28" s="13" t="s">
        <v>698</v>
      </c>
      <c r="D28" s="13" t="s">
        <v>699</v>
      </c>
      <c r="E28" s="13" t="s">
        <v>766</v>
      </c>
      <c r="F28" s="13" t="s">
        <v>767</v>
      </c>
      <c r="G28" s="13" t="s">
        <v>702</v>
      </c>
      <c r="H28" s="13">
        <v>10.08</v>
      </c>
      <c r="I28" s="13" t="s">
        <v>703</v>
      </c>
      <c r="J28" s="13"/>
      <c r="K28" s="13"/>
      <c r="L28" s="13">
        <v>3</v>
      </c>
      <c r="M28" s="13">
        <v>14</v>
      </c>
      <c r="N28" s="13">
        <v>240</v>
      </c>
      <c r="O28" s="13" t="s">
        <v>768</v>
      </c>
      <c r="P28" s="14">
        <f>IFERROR(H28*LOOKUP(2,1/(Emission_Factor!$H$4:$H$100="Approved"),Emission_Factor!$B$4:$B$100),"")</f>
        <v>7.4592000000000001</v>
      </c>
      <c r="Q28" s="15">
        <f>IFERROR(H28*LOOKUP(2,1/(Tariff!$D$4:$D$100&lt;&gt;""),Tariff!$D$4:$D$100),"")</f>
        <v>5.1418080000000002</v>
      </c>
      <c r="R28" s="13" t="s">
        <v>713</v>
      </c>
      <c r="S28" s="13" t="s">
        <v>714</v>
      </c>
      <c r="T28" s="13" t="s">
        <v>718</v>
      </c>
      <c r="U28" s="13" t="s">
        <v>698</v>
      </c>
      <c r="V28" s="13" t="s">
        <v>650</v>
      </c>
      <c r="W28" s="13" t="s">
        <v>707</v>
      </c>
      <c r="X28" s="13" t="s">
        <v>708</v>
      </c>
    </row>
    <row r="29" spans="1:24" ht="23.25" customHeight="1">
      <c r="A29" s="13" t="s">
        <v>769</v>
      </c>
      <c r="B29" s="13" t="s">
        <v>697</v>
      </c>
      <c r="C29" s="13" t="s">
        <v>698</v>
      </c>
      <c r="D29" s="13" t="s">
        <v>730</v>
      </c>
      <c r="E29" s="13" t="s">
        <v>770</v>
      </c>
      <c r="F29" s="13" t="s">
        <v>771</v>
      </c>
      <c r="G29" s="13" t="s">
        <v>733</v>
      </c>
      <c r="H29" s="13"/>
      <c r="I29" s="13" t="s">
        <v>703</v>
      </c>
      <c r="J29" s="13"/>
      <c r="K29" s="13"/>
      <c r="L29" s="13"/>
      <c r="M29" s="13"/>
      <c r="N29" s="13"/>
      <c r="O29" s="13" t="s">
        <v>772</v>
      </c>
      <c r="P29" s="13"/>
      <c r="Q29" s="13"/>
      <c r="R29" s="13" t="s">
        <v>735</v>
      </c>
      <c r="S29" s="13" t="s">
        <v>736</v>
      </c>
      <c r="T29" s="13" t="s">
        <v>688</v>
      </c>
      <c r="U29" s="13" t="s">
        <v>698</v>
      </c>
      <c r="V29" s="13" t="s">
        <v>650</v>
      </c>
      <c r="W29" s="13" t="s">
        <v>707</v>
      </c>
      <c r="X29" s="13" t="s">
        <v>708</v>
      </c>
    </row>
  </sheetData>
  <mergeCells count="2">
    <mergeCell ref="A2:X2"/>
    <mergeCell ref="A1:X1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"/>
  <sheetViews>
    <sheetView showGridLines="0" zoomScaleNormal="100" workbookViewId="0">
      <selection sqref="A1:F1"/>
    </sheetView>
  </sheetViews>
  <sheetFormatPr defaultColWidth="8.7109375" defaultRowHeight="14.45"/>
  <cols>
    <col min="1" max="1" width="28" style="1" customWidth="1"/>
    <col min="2" max="2" width="14" style="1" customWidth="1"/>
    <col min="3" max="3" width="12" style="1" customWidth="1"/>
    <col min="4" max="4" width="10" style="1" customWidth="1"/>
    <col min="5" max="5" width="18" style="1" customWidth="1"/>
    <col min="6" max="6" width="55" style="1" customWidth="1"/>
  </cols>
  <sheetData>
    <row r="1" spans="1:6" ht="27.75" customHeight="1">
      <c r="A1" s="23" t="s">
        <v>773</v>
      </c>
      <c r="B1" s="25"/>
      <c r="C1" s="25"/>
      <c r="D1" s="25"/>
      <c r="E1" s="25"/>
      <c r="F1" s="25"/>
    </row>
    <row r="2" spans="1:6" ht="33.75" customHeight="1">
      <c r="A2" s="22" t="s">
        <v>774</v>
      </c>
      <c r="B2" s="25"/>
      <c r="C2" s="25"/>
      <c r="D2" s="25"/>
      <c r="E2" s="25"/>
      <c r="F2" s="25"/>
    </row>
    <row r="3" spans="1:6" ht="33.75" customHeight="1">
      <c r="A3" s="2" t="s">
        <v>775</v>
      </c>
      <c r="B3" s="2" t="s">
        <v>47</v>
      </c>
      <c r="C3" s="2" t="s">
        <v>48</v>
      </c>
      <c r="D3" s="2" t="s">
        <v>776</v>
      </c>
      <c r="E3" s="2" t="s">
        <v>777</v>
      </c>
      <c r="F3" s="2" t="s">
        <v>57</v>
      </c>
    </row>
  </sheetData>
  <mergeCells count="2">
    <mergeCell ref="A2:F2"/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"/>
  <sheetViews>
    <sheetView showGridLines="0" zoomScaleNormal="100" workbookViewId="0">
      <selection sqref="A1:K1"/>
    </sheetView>
  </sheetViews>
  <sheetFormatPr defaultColWidth="8.7109375" defaultRowHeight="14.45"/>
  <cols>
    <col min="1" max="1" width="16" style="1" customWidth="1"/>
    <col min="2" max="2" width="18" style="1" customWidth="1"/>
    <col min="3" max="3" width="14" style="1" customWidth="1"/>
    <col min="4" max="4" width="12" style="1" customWidth="1"/>
    <col min="5" max="5" width="24" style="1" customWidth="1"/>
    <col min="6" max="6" width="12" style="1" customWidth="1"/>
    <col min="7" max="7" width="20" style="1" customWidth="1"/>
    <col min="8" max="8" width="40" style="1" customWidth="1"/>
    <col min="9" max="10" width="16" style="1" customWidth="1"/>
    <col min="11" max="11" width="45" style="1" customWidth="1"/>
  </cols>
  <sheetData>
    <row r="1" spans="1:11" ht="27.75" customHeight="1">
      <c r="A1" s="23" t="s">
        <v>778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33.75" customHeight="1">
      <c r="A2" s="22" t="s">
        <v>779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33.75" customHeight="1">
      <c r="A3" s="2" t="s">
        <v>780</v>
      </c>
      <c r="B3" s="2" t="s">
        <v>781</v>
      </c>
      <c r="C3" s="2" t="s">
        <v>782</v>
      </c>
      <c r="D3" s="2" t="s">
        <v>48</v>
      </c>
      <c r="E3" s="2" t="s">
        <v>783</v>
      </c>
      <c r="F3" s="2" t="s">
        <v>784</v>
      </c>
      <c r="G3" s="2" t="s">
        <v>636</v>
      </c>
      <c r="H3" s="2" t="s">
        <v>785</v>
      </c>
      <c r="I3" s="2" t="s">
        <v>786</v>
      </c>
      <c r="J3" s="2" t="s">
        <v>787</v>
      </c>
      <c r="K3" s="2" t="s">
        <v>57</v>
      </c>
    </row>
    <row r="4" spans="1:11" ht="39" customHeight="1">
      <c r="A4" s="2" t="s">
        <v>788</v>
      </c>
      <c r="B4" s="2" t="s">
        <v>7</v>
      </c>
      <c r="C4" s="2" t="s">
        <v>789</v>
      </c>
      <c r="D4" s="2" t="s">
        <v>375</v>
      </c>
      <c r="E4" s="2" t="s">
        <v>790</v>
      </c>
      <c r="F4" s="2" t="s">
        <v>688</v>
      </c>
      <c r="G4" s="2" t="s">
        <v>641</v>
      </c>
      <c r="H4" s="2" t="s">
        <v>791</v>
      </c>
      <c r="I4" s="2" t="s">
        <v>792</v>
      </c>
      <c r="J4" s="16">
        <v>45809</v>
      </c>
      <c r="K4" s="2" t="s">
        <v>793</v>
      </c>
    </row>
  </sheetData>
  <mergeCells count="2">
    <mergeCell ref="A2:K2"/>
    <mergeCell ref="A1:K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7"/>
  <sheetViews>
    <sheetView zoomScaleNormal="100" workbookViewId="0"/>
  </sheetViews>
  <sheetFormatPr defaultColWidth="8.7109375" defaultRowHeight="12.6"/>
  <sheetData>
    <row r="1" spans="1:13" ht="15" customHeight="1">
      <c r="A1" s="1" t="s">
        <v>53</v>
      </c>
      <c r="B1" s="1" t="s">
        <v>55</v>
      </c>
      <c r="C1" s="1" t="s">
        <v>56</v>
      </c>
      <c r="D1" s="1" t="s">
        <v>794</v>
      </c>
      <c r="E1" s="1" t="s">
        <v>598</v>
      </c>
      <c r="F1" s="1" t="s">
        <v>583</v>
      </c>
      <c r="G1" s="1" t="s">
        <v>784</v>
      </c>
      <c r="H1" s="1" t="s">
        <v>795</v>
      </c>
      <c r="I1" s="1" t="s">
        <v>619</v>
      </c>
      <c r="J1" s="1" t="s">
        <v>783</v>
      </c>
      <c r="K1" s="1" t="s">
        <v>636</v>
      </c>
      <c r="L1" s="1" t="s">
        <v>48</v>
      </c>
      <c r="M1" s="1" t="s">
        <v>46</v>
      </c>
    </row>
    <row r="2" spans="1:13" ht="15" customHeight="1">
      <c r="A2" s="1" t="s">
        <v>62</v>
      </c>
      <c r="B2" s="1" t="s">
        <v>35</v>
      </c>
      <c r="C2" s="1" t="s">
        <v>796</v>
      </c>
      <c r="D2" s="1" t="s">
        <v>554</v>
      </c>
      <c r="E2" s="1" t="s">
        <v>650</v>
      </c>
      <c r="F2" s="1" t="s">
        <v>797</v>
      </c>
      <c r="G2" s="1" t="s">
        <v>718</v>
      </c>
      <c r="H2" s="1" t="s">
        <v>798</v>
      </c>
      <c r="I2" s="1" t="s">
        <v>642</v>
      </c>
      <c r="J2" s="1" t="s">
        <v>799</v>
      </c>
      <c r="K2" s="1" t="s">
        <v>667</v>
      </c>
      <c r="L2" s="1" t="s">
        <v>60</v>
      </c>
      <c r="M2" s="1" t="s">
        <v>59</v>
      </c>
    </row>
    <row r="3" spans="1:13" ht="15" customHeight="1">
      <c r="A3" s="1" t="s">
        <v>800</v>
      </c>
      <c r="B3" s="1" t="s">
        <v>37</v>
      </c>
      <c r="C3" s="1" t="s">
        <v>801</v>
      </c>
      <c r="D3" s="1" t="s">
        <v>547</v>
      </c>
      <c r="E3" s="1" t="s">
        <v>802</v>
      </c>
      <c r="F3" s="1" t="s">
        <v>803</v>
      </c>
      <c r="G3" s="1" t="s">
        <v>688</v>
      </c>
      <c r="H3" s="1" t="s">
        <v>804</v>
      </c>
      <c r="I3" s="1" t="s">
        <v>683</v>
      </c>
      <c r="J3" s="1" t="s">
        <v>805</v>
      </c>
      <c r="K3" s="1" t="s">
        <v>641</v>
      </c>
      <c r="L3" s="1" t="s">
        <v>92</v>
      </c>
    </row>
    <row r="4" spans="1:13" ht="15" customHeight="1">
      <c r="A4" s="1" t="s">
        <v>806</v>
      </c>
      <c r="B4" s="1" t="s">
        <v>39</v>
      </c>
      <c r="C4" s="1" t="s">
        <v>64</v>
      </c>
      <c r="E4" s="1" t="s">
        <v>602</v>
      </c>
      <c r="F4" s="1" t="s">
        <v>807</v>
      </c>
      <c r="G4" s="1" t="s">
        <v>649</v>
      </c>
      <c r="H4" s="1" t="s">
        <v>792</v>
      </c>
      <c r="I4" s="1" t="s">
        <v>663</v>
      </c>
      <c r="J4" s="1" t="s">
        <v>808</v>
      </c>
      <c r="K4" s="1" t="s">
        <v>809</v>
      </c>
      <c r="L4" s="1" t="s">
        <v>122</v>
      </c>
    </row>
    <row r="5" spans="1:13" ht="15" customHeight="1">
      <c r="A5" s="1" t="s">
        <v>39</v>
      </c>
      <c r="B5" s="1" t="s">
        <v>41</v>
      </c>
      <c r="C5" s="1" t="s">
        <v>385</v>
      </c>
      <c r="E5" s="1" t="s">
        <v>810</v>
      </c>
      <c r="G5" s="1" t="s">
        <v>811</v>
      </c>
      <c r="H5" s="1" t="s">
        <v>812</v>
      </c>
      <c r="I5" s="1" t="s">
        <v>676</v>
      </c>
      <c r="J5" s="1" t="s">
        <v>790</v>
      </c>
      <c r="K5" s="1" t="s">
        <v>813</v>
      </c>
      <c r="L5" s="1" t="s">
        <v>153</v>
      </c>
    </row>
    <row r="6" spans="1:13" ht="15" customHeight="1">
      <c r="A6" s="1" t="s">
        <v>383</v>
      </c>
      <c r="I6" s="1" t="s">
        <v>16</v>
      </c>
      <c r="J6" s="1" t="s">
        <v>814</v>
      </c>
      <c r="K6" s="1" t="s">
        <v>815</v>
      </c>
      <c r="L6" s="1" t="s">
        <v>182</v>
      </c>
    </row>
    <row r="7" spans="1:13" ht="15" customHeight="1">
      <c r="I7" s="1" t="s">
        <v>19</v>
      </c>
      <c r="J7" s="1" t="s">
        <v>816</v>
      </c>
      <c r="K7" s="1" t="s">
        <v>817</v>
      </c>
      <c r="L7" s="1" t="s">
        <v>210</v>
      </c>
    </row>
    <row r="8" spans="1:13" ht="15" customHeight="1">
      <c r="I8" s="1" t="s">
        <v>818</v>
      </c>
      <c r="J8" s="1" t="s">
        <v>819</v>
      </c>
      <c r="K8" s="1" t="s">
        <v>819</v>
      </c>
      <c r="L8" s="1" t="s">
        <v>237</v>
      </c>
    </row>
    <row r="9" spans="1:13" ht="15" customHeight="1">
      <c r="I9" s="1" t="s">
        <v>819</v>
      </c>
      <c r="L9" s="1" t="s">
        <v>265</v>
      </c>
    </row>
    <row r="10" spans="1:13" ht="15" customHeight="1">
      <c r="L10" s="1" t="s">
        <v>293</v>
      </c>
    </row>
    <row r="11" spans="1:13" ht="15" customHeight="1">
      <c r="L11" s="1" t="s">
        <v>320</v>
      </c>
    </row>
    <row r="12" spans="1:13" ht="15" customHeight="1">
      <c r="L12" s="1" t="s">
        <v>347</v>
      </c>
    </row>
    <row r="13" spans="1:13" ht="15" customHeight="1">
      <c r="L13" s="1" t="s">
        <v>375</v>
      </c>
    </row>
    <row r="14" spans="1:13" ht="15" customHeight="1">
      <c r="L14" s="1" t="s">
        <v>409</v>
      </c>
    </row>
    <row r="15" spans="1:13" ht="15" customHeight="1">
      <c r="L15" s="1" t="s">
        <v>436</v>
      </c>
    </row>
    <row r="16" spans="1:13" ht="15" customHeight="1">
      <c r="L16" s="1" t="s">
        <v>465</v>
      </c>
    </row>
    <row r="17" spans="12:12" ht="15" customHeight="1">
      <c r="L17" s="1" t="s">
        <v>492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>0</cp:revision>
  <dcterms:created xsi:type="dcterms:W3CDTF">2026-09-18T08:17:12Z</dcterms:created>
  <dcterms:modified xsi:type="dcterms:W3CDTF">2026-09-23T07:17:29Z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668505-287b-49aa-889f-a970f540619b_Enabled">
    <vt:lpwstr>true</vt:lpwstr>
  </property>
  <property fmtid="{D5CDD505-2E9C-101B-9397-08002B2CF9AE}" pid="3" name="MSIP_Label_ba668505-287b-49aa-889f-a970f540619b_SetDate">
    <vt:lpwstr>2026-09-18T08:39:36Z</vt:lpwstr>
  </property>
  <property fmtid="{D5CDD505-2E9C-101B-9397-08002B2CF9AE}" pid="4" name="MSIP_Label_ba668505-287b-49aa-889f-a970f540619b_Method">
    <vt:lpwstr>Standard</vt:lpwstr>
  </property>
  <property fmtid="{D5CDD505-2E9C-101B-9397-08002B2CF9AE}" pid="5" name="MSIP_Label_ba668505-287b-49aa-889f-a970f540619b_Name">
    <vt:lpwstr>Internal Use Only</vt:lpwstr>
  </property>
  <property fmtid="{D5CDD505-2E9C-101B-9397-08002B2CF9AE}" pid="6" name="MSIP_Label_ba668505-287b-49aa-889f-a970f540619b_SiteId">
    <vt:lpwstr>5ef9f181-aa32-4444-b7c5-97a877141d23</vt:lpwstr>
  </property>
  <property fmtid="{D5CDD505-2E9C-101B-9397-08002B2CF9AE}" pid="7" name="MSIP_Label_ba668505-287b-49aa-889f-a970f540619b_ActionId">
    <vt:lpwstr>e0ecf993-5b15-4c1e-824f-0b4c9aa88a25</vt:lpwstr>
  </property>
  <property fmtid="{D5CDD505-2E9C-101B-9397-08002B2CF9AE}" pid="8" name="MSIP_Label_ba668505-287b-49aa-889f-a970f540619b_ContentBits">
    <vt:lpwstr>0</vt:lpwstr>
  </property>
  <property fmtid="{D5CDD505-2E9C-101B-9397-08002B2CF9AE}" pid="9" name="MSIP_Label_ba668505-287b-49aa-889f-a970f540619b_Tag">
    <vt:lpwstr>10, 3, 0, 1</vt:lpwstr>
  </property>
</Properties>
</file>